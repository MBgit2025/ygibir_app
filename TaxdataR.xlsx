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zGitDok\GibirApp\"/>
    </mc:Choice>
  </mc:AlternateContent>
  <xr:revisionPtr revIDLastSave="0" documentId="13_ncr:1_{AF986BF1-DB3F-425D-9795-E9E7478D2535}" xr6:coauthVersionLast="47" xr6:coauthVersionMax="47" xr10:uidLastSave="{00000000-0000-0000-0000-000000000000}"/>
  <bookViews>
    <workbookView xWindow="-108" yWindow="-108" windowWidth="23256" windowHeight="13896" xr2:uid="{E15AF30C-DB2A-4A3D-87A6-BEDDF3C3696A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/>
  <c r="D55" i="1"/>
  <c r="D54" i="1"/>
  <c r="D53" i="1"/>
  <c r="D46" i="1"/>
  <c r="D45" i="1"/>
  <c r="D44" i="1"/>
  <c r="D43" i="1"/>
  <c r="D42" i="1"/>
  <c r="D40" i="1"/>
  <c r="D39" i="1"/>
  <c r="D38" i="1"/>
  <c r="D37" i="1"/>
  <c r="D36" i="1"/>
  <c r="D34" i="1"/>
  <c r="D33" i="1"/>
  <c r="D32" i="1"/>
  <c r="D31" i="1"/>
  <c r="D30" i="1"/>
  <c r="E22" i="1"/>
  <c r="E15" i="1"/>
  <c r="E8" i="1"/>
  <c r="Q47" i="3"/>
  <c r="O47" i="3"/>
  <c r="H47" i="3"/>
  <c r="F47" i="3"/>
  <c r="H34" i="3"/>
  <c r="F34" i="3"/>
  <c r="Q33" i="3"/>
  <c r="O33" i="3"/>
  <c r="Q21" i="3"/>
  <c r="O21" i="3"/>
  <c r="Q11" i="3"/>
  <c r="O11" i="3"/>
  <c r="H11" i="3"/>
  <c r="F11" i="3"/>
</calcChain>
</file>

<file path=xl/sharedStrings.xml><?xml version="1.0" encoding="utf-8"?>
<sst xmlns="http://schemas.openxmlformats.org/spreadsheetml/2006/main" count="479" uniqueCount="124">
  <si>
    <t>range</t>
  </si>
  <si>
    <t>min</t>
  </si>
  <si>
    <t>max</t>
  </si>
  <si>
    <t>Income from employment</t>
  </si>
  <si>
    <t>0-600</t>
  </si>
  <si>
    <t>1651-3200</t>
  </si>
  <si>
    <t>5251-7800</t>
  </si>
  <si>
    <t>7801-10900</t>
  </si>
  <si>
    <t>Deduction</t>
  </si>
  <si>
    <t>taxpercnt</t>
  </si>
  <si>
    <t>Tax_amt</t>
  </si>
  <si>
    <t>Final Tax</t>
  </si>
  <si>
    <t>0–to 7 200</t>
  </si>
  <si>
    <t xml:space="preserve"> 7 201–19 800  </t>
  </si>
  <si>
    <t>19 801–38 400</t>
  </si>
  <si>
    <t>38 401–63 000</t>
  </si>
  <si>
    <t>63 001–93 600</t>
  </si>
  <si>
    <t>93 601–130 800</t>
  </si>
  <si>
    <t>Category</t>
  </si>
  <si>
    <t>catnum</t>
  </si>
  <si>
    <t>scrut</t>
  </si>
  <si>
    <t>actual</t>
  </si>
  <si>
    <t>usable</t>
  </si>
  <si>
    <t>Any</t>
  </si>
  <si>
    <t>Income from Games of Chance</t>
  </si>
  <si>
    <t>Up to 2,000</t>
  </si>
  <si>
    <t>2,001 to 4,000</t>
  </si>
  <si>
    <t>4,001 to 7,000</t>
  </si>
  <si>
    <t>7,001 to 10,000</t>
  </si>
  <si>
    <t>10,001 to 14,000</t>
  </si>
  <si>
    <t>Exceeding 14,000</t>
  </si>
  <si>
    <t>Rental Income (Annual)</t>
  </si>
  <si>
    <t>Up to 24,000</t>
  </si>
  <si>
    <t>24,001 to 48,000</t>
  </si>
  <si>
    <t>48,001 to 84,000</t>
  </si>
  <si>
    <t>84,001 to 120,000</t>
  </si>
  <si>
    <t>120,001 to 168,000</t>
  </si>
  <si>
    <t>Exceeding 168,000</t>
  </si>
  <si>
    <t>Business Income (Annual)</t>
  </si>
  <si>
    <t>Dividends</t>
  </si>
  <si>
    <t>Royalties</t>
  </si>
  <si>
    <t>Games of Chance</t>
  </si>
  <si>
    <t>Capital Gains (Immovable Property – Class A)</t>
  </si>
  <si>
    <t>Capital Gains (Shares/Bonds – Class B)</t>
  </si>
  <si>
    <t>Employment Income (Monthly)</t>
  </si>
  <si>
    <t>Revision</t>
  </si>
  <si>
    <t>Income from Business</t>
  </si>
  <si>
    <t>Income from Royalties</t>
  </si>
  <si>
    <t>Income from Technical Services</t>
  </si>
  <si>
    <t>Income from Dividends</t>
  </si>
  <si>
    <t>Income from Rental of Property</t>
  </si>
  <si>
    <t>Income from Interest  on Deposits</t>
  </si>
  <si>
    <t>Income from rental of buildings</t>
  </si>
  <si>
    <t>የንግድ ገቢ (ዓመታዊ)</t>
  </si>
  <si>
    <t xml:space="preserve"> የካፒታል ትርፍ (የማይንቀሳቀስ ንብረት - ክፍል ሀ)  </t>
  </si>
  <si>
    <t xml:space="preserve">የካፒታል ትርፍ (አክሲዮኖች / ቦንዶች - ክፍል ለ) </t>
  </si>
  <si>
    <t>የትርፍ ድርሻ</t>
  </si>
  <si>
    <t xml:space="preserve">የሥራ ገቢ (ወርሃዊ) </t>
  </si>
  <si>
    <t xml:space="preserve">የዕድል ጨዋታዎች </t>
  </si>
  <si>
    <t xml:space="preserve">ከንግድ ገቢ </t>
  </si>
  <si>
    <t xml:space="preserve">ከትርፍ ክፍፍል የሚገኘው ገቢ </t>
  </si>
  <si>
    <t xml:space="preserve">ከሥራ ገቢ </t>
  </si>
  <si>
    <t xml:space="preserve">ከዕድል ጨዋታዎች የሚገኘ ገቢ </t>
  </si>
  <si>
    <r>
      <t>በተቀማጭ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ገንዘብ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ወለድ</t>
    </r>
    <r>
      <rPr>
        <sz val="12"/>
        <color theme="1"/>
        <rFont val="Aptos"/>
        <family val="2"/>
      </rPr>
      <t xml:space="preserve"> </t>
    </r>
  </si>
  <si>
    <r>
      <t>ከህንፃዎች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ኪራይ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</si>
  <si>
    <r>
      <t>ከንብረት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ኪራይ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</t>
    </r>
  </si>
  <si>
    <r>
      <t>ከሮያሊቲ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</si>
  <si>
    <r>
      <t>ከቴክኒክ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አገልግሎቶች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</si>
  <si>
    <r>
      <t>የኪራይ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(</t>
    </r>
    <r>
      <rPr>
        <sz val="12"/>
        <color theme="1"/>
        <rFont val="Ebrima"/>
      </rPr>
      <t>ዓመታዊ</t>
    </r>
    <r>
      <rPr>
        <sz val="12"/>
        <color theme="1"/>
        <rFont val="Aptos"/>
        <family val="2"/>
      </rPr>
      <t>)</t>
    </r>
  </si>
  <si>
    <t>ሮያሊቲ</t>
  </si>
  <si>
    <r>
      <t>ይህ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ግብር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ግምት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ነው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እና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ምንም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አይነት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ተቀናሾችን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ግምት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ውስጥ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አያስገባም</t>
    </r>
    <r>
      <rPr>
        <sz val="12"/>
        <color theme="1"/>
        <rFont val="Aptos"/>
        <family val="2"/>
      </rPr>
      <t xml:space="preserve">. </t>
    </r>
    <r>
      <rPr>
        <sz val="12"/>
        <color theme="1"/>
        <rFont val="Ebrima"/>
      </rPr>
      <t>እባክዎን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ከገቢ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ባለስልጣናት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ጋር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ያረጋግጡ።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የመረጡት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የግብር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ህግ</t>
    </r>
    <r>
      <rPr>
        <sz val="12"/>
        <color theme="1"/>
        <rFont val="Aptos"/>
        <family val="2"/>
      </rPr>
      <t xml:space="preserve"> {version} </t>
    </r>
    <r>
      <rPr>
        <sz val="12"/>
        <color theme="1"/>
        <rFont val="Ebrima"/>
      </rPr>
      <t>ነው።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የመረጡት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ምንጭ</t>
    </r>
    <r>
      <rPr>
        <sz val="12"/>
        <color theme="1"/>
        <rFont val="Aptos"/>
        <family val="2"/>
      </rPr>
      <t xml:space="preserve"> {item} </t>
    </r>
    <r>
      <rPr>
        <sz val="12"/>
        <color theme="1"/>
        <rFont val="Ebrima"/>
      </rPr>
      <t>ነው።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ሪፖርት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ያደረጉት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{value} </t>
    </r>
    <r>
      <rPr>
        <sz val="12"/>
        <color theme="1"/>
        <rFont val="Ebrima"/>
      </rPr>
      <t>ነው።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ስለዚህ</t>
    </r>
    <r>
      <rPr>
        <sz val="12"/>
        <color theme="1"/>
        <rFont val="Aptos"/>
        <family val="2"/>
      </rPr>
      <t xml:space="preserve">, </t>
    </r>
    <r>
      <rPr>
        <sz val="12"/>
        <color theme="1"/>
        <rFont val="Ebrima"/>
      </rPr>
      <t>አጠቃላይ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የሚጠበቀው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ግብር</t>
    </r>
    <r>
      <rPr>
        <sz val="12"/>
        <color theme="1"/>
        <rFont val="Aptos"/>
        <family val="2"/>
      </rPr>
      <t xml:space="preserve"> {total_amount} </t>
    </r>
    <r>
      <rPr>
        <sz val="12"/>
        <color theme="1"/>
        <rFont val="Ebrima"/>
      </rPr>
      <t>ነው</t>
    </r>
    <r>
      <rPr>
        <sz val="12"/>
        <color theme="1"/>
        <rFont val="Aptos"/>
        <family val="2"/>
      </rPr>
      <t>.</t>
    </r>
  </si>
  <si>
    <r>
      <t>የንግድ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(</t>
    </r>
    <r>
      <rPr>
        <sz val="12"/>
        <color theme="1"/>
        <rFont val="Ebrima"/>
      </rPr>
      <t>ዓመታዊ</t>
    </r>
    <r>
      <rPr>
        <sz val="12"/>
        <color theme="1"/>
        <rFont val="Aptos"/>
        <family val="2"/>
      </rPr>
      <t xml:space="preserve">) </t>
    </r>
    <r>
      <rPr>
        <sz val="12"/>
        <color theme="1"/>
        <rFont val="Ebrima"/>
      </rPr>
      <t>የካፒታል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ትርፍ</t>
    </r>
    <r>
      <rPr>
        <sz val="12"/>
        <color theme="1"/>
        <rFont val="Aptos"/>
        <family val="2"/>
      </rPr>
      <t xml:space="preserve"> (</t>
    </r>
    <r>
      <rPr>
        <sz val="12"/>
        <color theme="1"/>
        <rFont val="Ebrima"/>
      </rPr>
      <t>የማይንቀሳቀስ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ንብረት</t>
    </r>
    <r>
      <rPr>
        <sz val="12"/>
        <color theme="1"/>
        <rFont val="Aptos"/>
        <family val="2"/>
      </rPr>
      <t xml:space="preserve"> - </t>
    </r>
    <r>
      <rPr>
        <sz val="12"/>
        <color theme="1"/>
        <rFont val="Ebrima"/>
      </rPr>
      <t>ክፍል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ሀ</t>
    </r>
    <r>
      <rPr>
        <sz val="12"/>
        <color theme="1"/>
        <rFont val="Aptos"/>
        <family val="2"/>
      </rPr>
      <t xml:space="preserve">) </t>
    </r>
    <r>
      <rPr>
        <sz val="12"/>
        <color theme="1"/>
        <rFont val="Ebrima"/>
      </rPr>
      <t>የካፒታል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ትርፍ</t>
    </r>
    <r>
      <rPr>
        <sz val="12"/>
        <color theme="1"/>
        <rFont val="Aptos"/>
        <family val="2"/>
      </rPr>
      <t xml:space="preserve"> (</t>
    </r>
    <r>
      <rPr>
        <sz val="12"/>
        <color theme="1"/>
        <rFont val="Ebrima"/>
      </rPr>
      <t>አክሲዮኖች</t>
    </r>
    <r>
      <rPr>
        <sz val="12"/>
        <color theme="1"/>
        <rFont val="Aptos"/>
        <family val="2"/>
      </rPr>
      <t xml:space="preserve"> / </t>
    </r>
    <r>
      <rPr>
        <sz val="12"/>
        <color theme="1"/>
        <rFont val="Ebrima"/>
      </rPr>
      <t>ቦንዶች</t>
    </r>
    <r>
      <rPr>
        <sz val="12"/>
        <color theme="1"/>
        <rFont val="Aptos"/>
        <family val="2"/>
      </rPr>
      <t xml:space="preserve"> - </t>
    </r>
    <r>
      <rPr>
        <sz val="12"/>
        <color theme="1"/>
        <rFont val="Ebrima"/>
      </rPr>
      <t>ክፍል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ለ</t>
    </r>
    <r>
      <rPr>
        <sz val="12"/>
        <color theme="1"/>
        <rFont val="Aptos"/>
        <family val="2"/>
      </rPr>
      <t xml:space="preserve">) </t>
    </r>
    <r>
      <rPr>
        <sz val="12"/>
        <color theme="1"/>
        <rFont val="Ebrima"/>
      </rPr>
      <t>የትርፍ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ድርሻየሥራ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(</t>
    </r>
    <r>
      <rPr>
        <sz val="12"/>
        <color theme="1"/>
        <rFont val="Ebrima"/>
      </rPr>
      <t>ወርሃዊ</t>
    </r>
    <r>
      <rPr>
        <sz val="12"/>
        <color theme="1"/>
        <rFont val="Aptos"/>
        <family val="2"/>
      </rPr>
      <t xml:space="preserve">) </t>
    </r>
    <r>
      <rPr>
        <sz val="12"/>
        <color theme="1"/>
        <rFont val="Ebrima"/>
      </rPr>
      <t>የዕድል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ጨዋታዎች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ከንግድ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ከትርፍ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ክፍፍል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ከሥራ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ከዕድል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ጨዋታዎች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በተቀማጭ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ገንዘብ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ወለድ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ከህንፃዎች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ኪራይ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ከንብረት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ኪራይ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ከሮያሊቲ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ከቴክኒክ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አገልግሎቶች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የሚገኘው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የኪራይ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Ebrima"/>
      </rPr>
      <t>ገቢ</t>
    </r>
    <r>
      <rPr>
        <sz val="12"/>
        <color theme="1"/>
        <rFont val="Aptos"/>
        <family val="2"/>
      </rPr>
      <t xml:space="preserve"> (</t>
    </r>
    <r>
      <rPr>
        <sz val="12"/>
        <color theme="1"/>
        <rFont val="Ebrima"/>
      </rPr>
      <t>ዓመታዊ</t>
    </r>
    <r>
      <rPr>
        <sz val="12"/>
        <color theme="1"/>
        <rFont val="Aptos"/>
        <family val="2"/>
      </rPr>
      <t xml:space="preserve">) </t>
    </r>
    <r>
      <rPr>
        <sz val="12"/>
        <color theme="1"/>
        <rFont val="Ebrima"/>
      </rPr>
      <t>ሮያሊቲ</t>
    </r>
  </si>
  <si>
    <t>3201-5250</t>
  </si>
  <si>
    <t>601-1650</t>
  </si>
  <si>
    <r>
      <t xml:space="preserve">Bussiness income </t>
    </r>
    <r>
      <rPr>
        <sz val="11"/>
        <color rgb="FFFF0000"/>
        <rFont val="Aptos Narrow"/>
        <family val="2"/>
        <scheme val="minor"/>
      </rPr>
      <t>old</t>
    </r>
  </si>
  <si>
    <r>
      <t xml:space="preserve">Bussiness income </t>
    </r>
    <r>
      <rPr>
        <sz val="11"/>
        <color rgb="FFFF0000"/>
        <rFont val="Aptos Narrow"/>
        <family val="2"/>
        <scheme val="minor"/>
      </rPr>
      <t>new</t>
    </r>
  </si>
  <si>
    <t xml:space="preserve"> 15 cents down</t>
  </si>
  <si>
    <r>
      <t xml:space="preserve">Income from rental of buildings </t>
    </r>
    <r>
      <rPr>
        <sz val="12"/>
        <color rgb="FFFF0000"/>
        <rFont val="Aptos"/>
        <family val="2"/>
      </rPr>
      <t>Old</t>
    </r>
  </si>
  <si>
    <r>
      <t xml:space="preserve">Rental Income (Annual) </t>
    </r>
    <r>
      <rPr>
        <sz val="12"/>
        <color rgb="FFFF0000"/>
        <rFont val="Aptos"/>
        <family val="2"/>
      </rPr>
      <t>NEW</t>
    </r>
  </si>
  <si>
    <t>Result of the App</t>
  </si>
  <si>
    <r>
      <t xml:space="preserve">Income from employment </t>
    </r>
    <r>
      <rPr>
        <sz val="12"/>
        <color rgb="FFFF0000"/>
        <rFont val="Aptos"/>
        <family val="2"/>
      </rPr>
      <t>Old</t>
    </r>
  </si>
  <si>
    <r>
      <t xml:space="preserve">Income from Dividends </t>
    </r>
    <r>
      <rPr>
        <sz val="12"/>
        <color rgb="FFFF0000"/>
        <rFont val="Aptos"/>
        <family val="2"/>
      </rPr>
      <t>old</t>
    </r>
  </si>
  <si>
    <r>
      <t xml:space="preserve">Income from Games of Chance </t>
    </r>
    <r>
      <rPr>
        <sz val="12"/>
        <color rgb="FFFF0000"/>
        <rFont val="Aptos"/>
        <family val="2"/>
      </rPr>
      <t>old</t>
    </r>
  </si>
  <si>
    <r>
      <t xml:space="preserve">Income from Interest  on Deposits </t>
    </r>
    <r>
      <rPr>
        <sz val="12"/>
        <color rgb="FFFF0000"/>
        <rFont val="Aptos"/>
        <family val="2"/>
      </rPr>
      <t>old</t>
    </r>
  </si>
  <si>
    <r>
      <t xml:space="preserve">Income from Rental of Property </t>
    </r>
    <r>
      <rPr>
        <sz val="12"/>
        <color rgb="FFFF0000"/>
        <rFont val="Aptos"/>
        <family val="2"/>
      </rPr>
      <t>old</t>
    </r>
  </si>
  <si>
    <r>
      <t xml:space="preserve">Income from Royalties </t>
    </r>
    <r>
      <rPr>
        <sz val="12"/>
        <color rgb="FFFF0000"/>
        <rFont val="Aptos"/>
        <family val="2"/>
      </rPr>
      <t>old</t>
    </r>
  </si>
  <si>
    <r>
      <t xml:space="preserve">Income from Technical Services </t>
    </r>
    <r>
      <rPr>
        <sz val="12"/>
        <color rgb="FFFF0000"/>
        <rFont val="Aptos"/>
        <family val="2"/>
      </rPr>
      <t>old</t>
    </r>
  </si>
  <si>
    <t>NaN</t>
  </si>
  <si>
    <r>
      <t xml:space="preserve">Capital Gains (Immovable Property – Class A) </t>
    </r>
    <r>
      <rPr>
        <sz val="12"/>
        <color rgb="FFEE0000"/>
        <rFont val="Aptos"/>
        <family val="2"/>
      </rPr>
      <t>New</t>
    </r>
  </si>
  <si>
    <r>
      <t xml:space="preserve">Capital Gains (Shares/Bonds – Class B) </t>
    </r>
    <r>
      <rPr>
        <sz val="12"/>
        <color rgb="FFEE0000"/>
        <rFont val="Aptos"/>
        <family val="2"/>
      </rPr>
      <t>New</t>
    </r>
  </si>
  <si>
    <r>
      <t xml:space="preserve">Dividends </t>
    </r>
    <r>
      <rPr>
        <sz val="12"/>
        <color rgb="FFEE0000"/>
        <rFont val="Aptos"/>
        <family val="2"/>
      </rPr>
      <t>New</t>
    </r>
  </si>
  <si>
    <r>
      <t xml:space="preserve">Games of Chance </t>
    </r>
    <r>
      <rPr>
        <sz val="12"/>
        <color rgb="FFEE0000"/>
        <rFont val="Aptos"/>
        <family val="2"/>
      </rPr>
      <t>New</t>
    </r>
  </si>
  <si>
    <r>
      <t xml:space="preserve">Royalties </t>
    </r>
    <r>
      <rPr>
        <sz val="12"/>
        <color rgb="FFEE0000"/>
        <rFont val="Aptos"/>
        <family val="2"/>
      </rPr>
      <t>New</t>
    </r>
  </si>
  <si>
    <r>
      <t xml:space="preserve">Rental Income (Annual)  </t>
    </r>
    <r>
      <rPr>
        <sz val="12"/>
        <color rgb="FFEE0000"/>
        <rFont val="Aptos"/>
        <family val="2"/>
      </rPr>
      <t>New</t>
    </r>
  </si>
  <si>
    <t>??</t>
  </si>
  <si>
    <t xml:space="preserve">Category B taxpayers will be levied presupmtive tax </t>
  </si>
  <si>
    <t>Range</t>
  </si>
  <si>
    <t>Value</t>
  </si>
  <si>
    <t>0 – 100,000</t>
  </si>
  <si>
    <t>100.001 – 500.000</t>
  </si>
  <si>
    <t>s00,001 – 1,000,000</t>
  </si>
  <si>
    <t>1,000,001 – 1,500,000</t>
  </si>
  <si>
    <t>1,500,001 – 2,000,000</t>
  </si>
  <si>
    <t>royalties related to art and culture</t>
  </si>
  <si>
    <t>.lncome from Digital Content Creation</t>
  </si>
  <si>
    <t>entertainer or group in a performance taking place in Ethiopia</t>
  </si>
  <si>
    <t>management or technical fee</t>
  </si>
  <si>
    <t xml:space="preserve">Bussines income </t>
  </si>
  <si>
    <t>Category "8" taxpayers who pays tax on annual gross sales</t>
  </si>
  <si>
    <t>Income From Digital Content Creation</t>
  </si>
  <si>
    <t>Royalties Related to Art and Culture</t>
  </si>
  <si>
    <t>500,001 – 1,000,000</t>
  </si>
  <si>
    <t>Entertainer Performance Taking Place in Ethiopia</t>
  </si>
  <si>
    <t>Management or Technical Services Fee</t>
  </si>
  <si>
    <t>Interest on Deposits</t>
  </si>
  <si>
    <t>Offshore Indirect Transfers (Gains From Ethiopia)</t>
  </si>
  <si>
    <t>Category B - Tax on annual gross sales</t>
  </si>
  <si>
    <t>Insurance Premium</t>
  </si>
  <si>
    <r>
      <rPr>
        <sz val="14"/>
        <color rgb="FFFF0000"/>
        <rFont val="Aptos Narrow"/>
        <family val="2"/>
        <scheme val="minor"/>
      </rPr>
      <t>Exceeding</t>
    </r>
    <r>
      <rPr>
        <sz val="14"/>
        <color theme="1"/>
        <rFont val="Aptos Narrow"/>
        <family val="2"/>
        <scheme val="minor"/>
      </rPr>
      <t xml:space="preserve"> 10900</t>
    </r>
  </si>
  <si>
    <r>
      <rPr>
        <sz val="14"/>
        <color rgb="FFFF0000"/>
        <rFont val="Aptos Narrow"/>
        <family val="2"/>
        <scheme val="minor"/>
      </rPr>
      <t>Exceeding</t>
    </r>
    <r>
      <rPr>
        <sz val="14"/>
        <color theme="1"/>
        <rFont val="Aptos Narrow"/>
        <family val="2"/>
        <scheme val="minor"/>
      </rPr>
      <t xml:space="preserve"> 130 800</t>
    </r>
  </si>
  <si>
    <r>
      <rPr>
        <sz val="11"/>
        <color rgb="FFFF0000"/>
        <rFont val="Aptos Narrow"/>
        <family val="2"/>
        <scheme val="minor"/>
      </rPr>
      <t>Exceeding</t>
    </r>
    <r>
      <rPr>
        <sz val="11"/>
        <color theme="1"/>
        <rFont val="Aptos Narrow"/>
        <family val="2"/>
        <scheme val="minor"/>
      </rPr>
      <t xml:space="preserve"> 14,000</t>
    </r>
  </si>
  <si>
    <r>
      <rPr>
        <sz val="11"/>
        <color rgb="FFFF0000"/>
        <rFont val="Aptos Narrow"/>
        <family val="2"/>
        <scheme val="minor"/>
      </rPr>
      <t>Exceeding</t>
    </r>
    <r>
      <rPr>
        <sz val="11"/>
        <color theme="1"/>
        <rFont val="Aptos Narrow"/>
        <family val="2"/>
        <scheme val="minor"/>
      </rPr>
      <t xml:space="preserve"> 168,000</t>
    </r>
  </si>
  <si>
    <t>Before2025Revision-ከ2017 ማሻማሻያ በፊት</t>
  </si>
  <si>
    <t>After2025Revision-በ2017 የተሻሻለ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</si>
</sst>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22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"/>
      <family val="2"/>
    </font>
    <font>
      <sz val="12"/>
      <color theme="1"/>
      <name val="Ebrima"/>
    </font>
    <font>
      <sz val="11"/>
      <color rgb="FFFF0000"/>
      <name val="Aptos Narrow"/>
      <family val="2"/>
      <scheme val="minor"/>
    </font>
    <font>
      <sz val="12"/>
      <color rgb="FFFF0000"/>
      <name val="Aptos"/>
      <family val="2"/>
    </font>
    <font>
      <sz val="18"/>
      <color rgb="FFFF0000"/>
      <name val="Aptos Narrow"/>
      <family val="2"/>
      <scheme val="minor"/>
    </font>
    <font>
      <sz val="12"/>
      <color rgb="FFEE0000"/>
      <name val="Aptos"/>
      <family val="2"/>
    </font>
    <font>
      <b/>
      <sz val="12"/>
      <color rgb="FFFF0000"/>
      <name val="Aptos"/>
      <family val="2"/>
    </font>
    <font>
      <sz val="11"/>
      <color rgb="FFFF0000"/>
      <name val="Aptos Narrow"/>
      <family val="2"/>
    </font>
    <font>
      <sz val="14"/>
      <color rgb="FFFF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43" fontId="2" fillId="5" borderId="0" xfId="1" applyFont="1" applyFill="1"/>
    <xf numFmtId="0" fontId="4" fillId="7" borderId="0" xfId="0" applyFont="1" applyFill="1"/>
    <xf numFmtId="0" fontId="5" fillId="7" borderId="0" xfId="0" applyFont="1" applyFill="1"/>
    <xf numFmtId="0" fontId="3" fillId="0" borderId="1" xfId="0" applyFont="1" applyBorder="1"/>
    <xf numFmtId="0" fontId="3" fillId="0" borderId="0" xfId="0" applyFont="1"/>
    <xf numFmtId="43" fontId="3" fillId="4" borderId="0" xfId="0" applyNumberFormat="1" applyFont="1" applyFill="1"/>
    <xf numFmtId="0" fontId="3" fillId="2" borderId="0" xfId="0" applyFont="1" applyFill="1"/>
    <xf numFmtId="0" fontId="3" fillId="6" borderId="0" xfId="0" applyFont="1" applyFill="1" applyAlignment="1">
      <alignment wrapText="1"/>
    </xf>
    <xf numFmtId="9" fontId="3" fillId="4" borderId="0" xfId="0" applyNumberFormat="1" applyFont="1" applyFill="1" applyAlignment="1">
      <alignment wrapText="1"/>
    </xf>
    <xf numFmtId="9" fontId="3" fillId="4" borderId="0" xfId="0" applyNumberFormat="1" applyFont="1" applyFill="1"/>
    <xf numFmtId="0" fontId="4" fillId="7" borderId="1" xfId="0" applyFont="1" applyFill="1" applyBorder="1"/>
    <xf numFmtId="0" fontId="3" fillId="3" borderId="2" xfId="0" applyFont="1" applyFill="1" applyBorder="1"/>
    <xf numFmtId="9" fontId="3" fillId="4" borderId="3" xfId="0" applyNumberFormat="1" applyFont="1" applyFill="1" applyBorder="1"/>
    <xf numFmtId="0" fontId="0" fillId="8" borderId="1" xfId="0" applyFill="1" applyBorder="1"/>
    <xf numFmtId="0" fontId="6" fillId="8" borderId="1" xfId="0" applyFont="1" applyFill="1" applyBorder="1"/>
    <xf numFmtId="0" fontId="3" fillId="8" borderId="1" xfId="0" applyFont="1" applyFill="1" applyBorder="1"/>
    <xf numFmtId="0" fontId="3" fillId="8" borderId="1" xfId="0" applyFont="1" applyFill="1" applyBorder="1" applyAlignment="1">
      <alignment wrapText="1"/>
    </xf>
    <xf numFmtId="0" fontId="0" fillId="6" borderId="4" xfId="0" applyFill="1" applyBorder="1"/>
    <xf numFmtId="0" fontId="5" fillId="7" borderId="1" xfId="0" applyFont="1" applyFill="1" applyBorder="1"/>
    <xf numFmtId="0" fontId="0" fillId="0" borderId="1" xfId="0" applyBorder="1"/>
    <xf numFmtId="9" fontId="3" fillId="4" borderId="1" xfId="0" applyNumberFormat="1" applyFont="1" applyFill="1" applyBorder="1"/>
    <xf numFmtId="0" fontId="4" fillId="7" borderId="5" xfId="0" applyFont="1" applyFill="1" applyBorder="1"/>
    <xf numFmtId="0" fontId="7" fillId="0" borderId="0" xfId="0" applyFont="1" applyAlignment="1">
      <alignment vertical="center"/>
    </xf>
    <xf numFmtId="0" fontId="7" fillId="0" borderId="0" xfId="0" applyFont="1"/>
    <xf numFmtId="0" fontId="0" fillId="8" borderId="0" xfId="0" applyFill="1" applyAlignment="1">
      <alignment horizontal="left"/>
    </xf>
    <xf numFmtId="0" fontId="0" fillId="8" borderId="0" xfId="0" applyFill="1"/>
    <xf numFmtId="0" fontId="8" fillId="8" borderId="0" xfId="0" applyFont="1" applyFill="1"/>
    <xf numFmtId="0" fontId="0" fillId="9" borderId="1" xfId="0" applyFill="1" applyBorder="1"/>
    <xf numFmtId="0" fontId="0" fillId="9" borderId="0" xfId="0" applyFill="1"/>
    <xf numFmtId="0" fontId="0" fillId="4" borderId="0" xfId="0" applyFill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3" fillId="0" borderId="6" xfId="0" applyFont="1" applyBorder="1" applyAlignment="1">
      <alignment vertical="center" wrapText="1"/>
    </xf>
    <xf numFmtId="0" fontId="13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9" fontId="10" fillId="0" borderId="9" xfId="0" applyNumberFormat="1" applyFont="1" applyBorder="1" applyAlignment="1">
      <alignment vertical="center" wrapText="1"/>
    </xf>
    <xf numFmtId="9" fontId="9" fillId="0" borderId="0" xfId="0" applyNumberFormat="1" applyFont="1"/>
    <xf numFmtId="9" fontId="0" fillId="0" borderId="0" xfId="0" applyNumberFormat="1"/>
    <xf numFmtId="0" fontId="3" fillId="0" borderId="5" xfId="0" applyFont="1" applyBorder="1"/>
    <xf numFmtId="9" fontId="0" fillId="8" borderId="0" xfId="0" applyNumberFormat="1" applyFill="1"/>
    <xf numFmtId="9" fontId="10" fillId="10" borderId="9" xfId="0" applyNumberFormat="1" applyFont="1" applyFill="1" applyBorder="1" applyAlignment="1">
      <alignment vertical="center" wrapText="1"/>
    </xf>
    <xf numFmtId="0" fontId="3" fillId="0" borderId="4" xfId="0" applyFont="1" applyBorder="1"/>
    <xf numFmtId="0" fontId="14" fillId="0" borderId="0" xfId="0" applyFont="1" applyAlignment="1">
      <alignment vertical="center"/>
    </xf>
    <xf numFmtId="0" fontId="8" fillId="0" borderId="0" xfId="0" applyFont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DE4C8-A1F1-412A-B89A-A546EA7399E2}">
  <dimension ref="A1:M63"/>
  <sheetViews>
    <sheetView tabSelected="1" zoomScale="70" zoomScaleNormal="70" workbookViewId="0"/>
  </sheetViews>
  <sheetFormatPr defaultRowHeight="14.4" x14ac:dyDescent="0.3"/>
  <cols>
    <col min="1" max="1" width="50.6640625" bestFit="1" customWidth="1"/>
    <col min="2" max="2" width="14.44140625" bestFit="1" customWidth="1"/>
    <col min="3" max="3" width="31.109375" customWidth="1"/>
    <col min="4" max="4" width="10.5546875" bestFit="1" customWidth="1"/>
    <col min="5" max="5" width="9" bestFit="1" customWidth="1"/>
    <col min="6" max="6" width="18.77734375" bestFit="1" customWidth="1"/>
    <col min="7" max="9" width="18.77734375" customWidth="1"/>
    <col min="10" max="10" width="17.88671875" bestFit="1" customWidth="1"/>
    <col min="11" max="11" width="15.5546875" bestFit="1" customWidth="1"/>
    <col min="12" max="12" width="16.21875" bestFit="1" customWidth="1"/>
    <col min="13" max="13" width="39.6640625" bestFit="1" customWidth="1"/>
  </cols>
  <sheetData>
    <row r="1" spans="1:13" ht="28.8" x14ac:dyDescent="0.55000000000000004">
      <c r="A1" s="2" t="s">
        <v>18</v>
      </c>
      <c r="B1" s="2" t="s">
        <v>19</v>
      </c>
      <c r="C1" s="2" t="s">
        <v>0</v>
      </c>
      <c r="D1" s="2" t="s">
        <v>1</v>
      </c>
      <c r="E1" s="2" t="s">
        <v>2</v>
      </c>
      <c r="F1" s="11" t="s">
        <v>8</v>
      </c>
      <c r="G1" s="11" t="s">
        <v>22</v>
      </c>
      <c r="H1" s="11" t="s">
        <v>20</v>
      </c>
      <c r="I1" s="11" t="s">
        <v>21</v>
      </c>
      <c r="J1" s="2" t="s">
        <v>9</v>
      </c>
      <c r="K1" s="2" t="s">
        <v>10</v>
      </c>
      <c r="L1" s="3" t="s">
        <v>11</v>
      </c>
      <c r="M1" s="22" t="s">
        <v>45</v>
      </c>
    </row>
    <row r="2" spans="1:13" ht="18" x14ac:dyDescent="0.35">
      <c r="A2" s="4" t="s">
        <v>3</v>
      </c>
      <c r="B2" s="4">
        <v>1</v>
      </c>
      <c r="C2" s="4" t="s">
        <v>4</v>
      </c>
      <c r="D2" s="5">
        <v>0</v>
      </c>
      <c r="E2" s="5">
        <v>600</v>
      </c>
      <c r="F2" s="12">
        <v>0</v>
      </c>
      <c r="G2" s="15"/>
      <c r="H2" s="15"/>
      <c r="I2" s="14"/>
      <c r="J2" s="13">
        <v>0</v>
      </c>
      <c r="K2" s="1">
        <v>0</v>
      </c>
      <c r="L2" s="6">
        <v>0</v>
      </c>
      <c r="M2" t="s">
        <v>122</v>
      </c>
    </row>
    <row r="3" spans="1:13" ht="18" x14ac:dyDescent="0.35">
      <c r="A3" s="4" t="s">
        <v>3</v>
      </c>
      <c r="B3" s="4">
        <v>1</v>
      </c>
      <c r="C3" s="4" t="s">
        <v>73</v>
      </c>
      <c r="D3" s="5">
        <v>600</v>
      </c>
      <c r="E3" s="5">
        <v>1650</v>
      </c>
      <c r="F3" s="12">
        <v>60</v>
      </c>
      <c r="G3" s="15"/>
      <c r="H3" s="15"/>
      <c r="I3" s="14"/>
      <c r="J3" s="13">
        <v>0.1</v>
      </c>
      <c r="K3" s="1">
        <v>105</v>
      </c>
      <c r="L3" s="6">
        <v>45</v>
      </c>
      <c r="M3" t="s">
        <v>122</v>
      </c>
    </row>
    <row r="4" spans="1:13" ht="18" x14ac:dyDescent="0.35">
      <c r="A4" s="4" t="s">
        <v>3</v>
      </c>
      <c r="B4" s="4">
        <v>1</v>
      </c>
      <c r="C4" s="4" t="s">
        <v>5</v>
      </c>
      <c r="D4" s="5">
        <v>1650</v>
      </c>
      <c r="E4" s="5">
        <v>3200</v>
      </c>
      <c r="F4" s="12">
        <v>142.5</v>
      </c>
      <c r="G4" s="15"/>
      <c r="H4" s="15"/>
      <c r="I4" s="14"/>
      <c r="J4" s="13">
        <v>0.15</v>
      </c>
      <c r="K4" s="1">
        <v>232.5</v>
      </c>
      <c r="L4" s="6">
        <v>90</v>
      </c>
      <c r="M4" t="s">
        <v>122</v>
      </c>
    </row>
    <row r="5" spans="1:13" ht="18" x14ac:dyDescent="0.35">
      <c r="A5" s="4" t="s">
        <v>3</v>
      </c>
      <c r="B5" s="4">
        <v>1</v>
      </c>
      <c r="C5" s="4" t="s">
        <v>72</v>
      </c>
      <c r="D5" s="5">
        <v>3200</v>
      </c>
      <c r="E5" s="5">
        <v>5250</v>
      </c>
      <c r="F5" s="12">
        <v>302.5</v>
      </c>
      <c r="G5" s="15"/>
      <c r="H5" s="15"/>
      <c r="I5" s="14"/>
      <c r="J5" s="13">
        <v>0.2</v>
      </c>
      <c r="K5" s="1">
        <v>410</v>
      </c>
      <c r="L5" s="6">
        <v>107.5</v>
      </c>
      <c r="M5" t="s">
        <v>122</v>
      </c>
    </row>
    <row r="6" spans="1:13" ht="18" x14ac:dyDescent="0.35">
      <c r="A6" s="4" t="s">
        <v>3</v>
      </c>
      <c r="B6" s="4">
        <v>1</v>
      </c>
      <c r="C6" s="4" t="s">
        <v>6</v>
      </c>
      <c r="D6" s="5">
        <v>5250</v>
      </c>
      <c r="E6" s="5">
        <v>7800</v>
      </c>
      <c r="F6" s="12">
        <v>565</v>
      </c>
      <c r="G6" s="15"/>
      <c r="H6" s="15"/>
      <c r="I6" s="14"/>
      <c r="J6" s="13">
        <v>0.25</v>
      </c>
      <c r="K6" s="1">
        <v>637.5</v>
      </c>
      <c r="L6" s="6">
        <v>72.5</v>
      </c>
      <c r="M6" t="s">
        <v>122</v>
      </c>
    </row>
    <row r="7" spans="1:13" ht="18" x14ac:dyDescent="0.35">
      <c r="A7" s="4" t="s">
        <v>3</v>
      </c>
      <c r="B7" s="4">
        <v>1</v>
      </c>
      <c r="C7" s="4" t="s">
        <v>7</v>
      </c>
      <c r="D7" s="5">
        <v>7800</v>
      </c>
      <c r="E7" s="5">
        <v>10900</v>
      </c>
      <c r="F7" s="12">
        <v>955</v>
      </c>
      <c r="G7" s="15"/>
      <c r="H7" s="15"/>
      <c r="I7" s="14"/>
      <c r="J7" s="13">
        <v>0.3</v>
      </c>
      <c r="K7" s="1">
        <v>930</v>
      </c>
      <c r="L7" s="6">
        <v>0</v>
      </c>
      <c r="M7" t="s">
        <v>122</v>
      </c>
    </row>
    <row r="8" spans="1:13" ht="18" x14ac:dyDescent="0.35">
      <c r="A8" s="4" t="s">
        <v>3</v>
      </c>
      <c r="B8" s="4">
        <v>1</v>
      </c>
      <c r="C8" s="4" t="s">
        <v>118</v>
      </c>
      <c r="D8" s="5">
        <v>10900</v>
      </c>
      <c r="E8" s="7">
        <f>IF(D8&lt;=$O$6,$O$6,D8)</f>
        <v>10900</v>
      </c>
      <c r="F8" s="12">
        <v>1500</v>
      </c>
      <c r="G8" s="16"/>
      <c r="H8" s="16"/>
      <c r="I8" s="16"/>
      <c r="J8" s="13">
        <v>0.35</v>
      </c>
      <c r="K8" s="1">
        <v>2485</v>
      </c>
      <c r="L8" s="6">
        <v>985</v>
      </c>
      <c r="M8" t="s">
        <v>122</v>
      </c>
    </row>
    <row r="9" spans="1:13" ht="18" x14ac:dyDescent="0.35">
      <c r="A9" s="4" t="s">
        <v>52</v>
      </c>
      <c r="B9" s="5">
        <v>2</v>
      </c>
      <c r="C9" s="8" t="s">
        <v>12</v>
      </c>
      <c r="D9" s="5">
        <v>0</v>
      </c>
      <c r="E9" s="5">
        <v>7200</v>
      </c>
      <c r="F9" s="8">
        <v>0</v>
      </c>
      <c r="G9" s="17"/>
      <c r="H9" s="17"/>
      <c r="I9" s="17"/>
      <c r="J9" s="9">
        <v>0</v>
      </c>
      <c r="K9" s="1">
        <v>0</v>
      </c>
      <c r="L9" s="6">
        <v>0</v>
      </c>
      <c r="M9" t="s">
        <v>122</v>
      </c>
    </row>
    <row r="10" spans="1:13" ht="18" x14ac:dyDescent="0.35">
      <c r="A10" s="4" t="s">
        <v>52</v>
      </c>
      <c r="B10" s="5">
        <v>2</v>
      </c>
      <c r="C10" s="5" t="s">
        <v>13</v>
      </c>
      <c r="D10" s="5">
        <v>7200</v>
      </c>
      <c r="E10" s="5">
        <v>19800</v>
      </c>
      <c r="F10" s="5">
        <v>720</v>
      </c>
      <c r="G10" s="16"/>
      <c r="H10" s="16"/>
      <c r="I10" s="16"/>
      <c r="J10" s="10">
        <v>0.1</v>
      </c>
      <c r="K10" s="1">
        <v>1260</v>
      </c>
      <c r="L10" s="6">
        <v>540</v>
      </c>
      <c r="M10" t="s">
        <v>122</v>
      </c>
    </row>
    <row r="11" spans="1:13" ht="18" x14ac:dyDescent="0.35">
      <c r="A11" s="4" t="s">
        <v>52</v>
      </c>
      <c r="B11" s="5">
        <v>2</v>
      </c>
      <c r="C11" s="5" t="s">
        <v>14</v>
      </c>
      <c r="D11" s="5">
        <v>19800</v>
      </c>
      <c r="E11" s="5">
        <v>38400</v>
      </c>
      <c r="F11" s="5">
        <v>1710</v>
      </c>
      <c r="G11" s="16"/>
      <c r="H11" s="16"/>
      <c r="I11" s="16"/>
      <c r="J11" s="10">
        <v>0.15</v>
      </c>
      <c r="K11" s="1">
        <v>2790</v>
      </c>
      <c r="L11" s="6">
        <v>1080</v>
      </c>
      <c r="M11" t="s">
        <v>122</v>
      </c>
    </row>
    <row r="12" spans="1:13" ht="18" x14ac:dyDescent="0.35">
      <c r="A12" s="4" t="s">
        <v>52</v>
      </c>
      <c r="B12" s="5">
        <v>2</v>
      </c>
      <c r="C12" s="5" t="s">
        <v>15</v>
      </c>
      <c r="D12" s="5">
        <v>38400</v>
      </c>
      <c r="E12" s="5">
        <v>63000</v>
      </c>
      <c r="F12" s="5">
        <v>3630</v>
      </c>
      <c r="G12" s="16"/>
      <c r="H12" s="16"/>
      <c r="I12" s="16"/>
      <c r="J12" s="10">
        <v>0.2</v>
      </c>
      <c r="K12" s="1">
        <v>4920</v>
      </c>
      <c r="L12" s="6">
        <v>1290</v>
      </c>
      <c r="M12" t="s">
        <v>122</v>
      </c>
    </row>
    <row r="13" spans="1:13" ht="18" x14ac:dyDescent="0.35">
      <c r="A13" s="4" t="s">
        <v>52</v>
      </c>
      <c r="B13" s="5">
        <v>2</v>
      </c>
      <c r="C13" s="5" t="s">
        <v>16</v>
      </c>
      <c r="D13" s="5">
        <v>63000</v>
      </c>
      <c r="E13" s="5">
        <v>93600</v>
      </c>
      <c r="F13" s="5">
        <v>6780</v>
      </c>
      <c r="G13" s="16"/>
      <c r="H13" s="16"/>
      <c r="I13" s="16"/>
      <c r="J13" s="10">
        <v>0.25</v>
      </c>
      <c r="K13" s="1">
        <v>7650</v>
      </c>
      <c r="L13" s="6">
        <v>870</v>
      </c>
      <c r="M13" t="s">
        <v>122</v>
      </c>
    </row>
    <row r="14" spans="1:13" ht="18" x14ac:dyDescent="0.35">
      <c r="A14" s="4" t="s">
        <v>52</v>
      </c>
      <c r="B14" s="5">
        <v>2</v>
      </c>
      <c r="C14" s="5" t="s">
        <v>17</v>
      </c>
      <c r="D14" s="5">
        <v>93600</v>
      </c>
      <c r="E14" s="5">
        <v>130800</v>
      </c>
      <c r="F14" s="5">
        <v>11460</v>
      </c>
      <c r="G14" s="16"/>
      <c r="H14" s="16"/>
      <c r="I14" s="16"/>
      <c r="J14" s="10">
        <v>0.3</v>
      </c>
      <c r="K14" s="1">
        <v>11160</v>
      </c>
      <c r="L14" s="6">
        <v>0</v>
      </c>
      <c r="M14" t="s">
        <v>122</v>
      </c>
    </row>
    <row r="15" spans="1:13" ht="18" x14ac:dyDescent="0.35">
      <c r="A15" s="4" t="s">
        <v>52</v>
      </c>
      <c r="B15" s="5">
        <v>2</v>
      </c>
      <c r="C15" s="5" t="s">
        <v>119</v>
      </c>
      <c r="D15" s="5">
        <v>130800</v>
      </c>
      <c r="E15" s="7">
        <f>IF(D15&lt;=$O$21,$O$21,D15)</f>
        <v>130800</v>
      </c>
      <c r="F15" s="5">
        <v>18000</v>
      </c>
      <c r="G15" s="16"/>
      <c r="H15" s="16"/>
      <c r="I15" s="16"/>
      <c r="J15" s="10">
        <v>0.35</v>
      </c>
      <c r="K15" s="1">
        <v>420</v>
      </c>
      <c r="L15" s="6">
        <v>0</v>
      </c>
      <c r="M15" t="s">
        <v>122</v>
      </c>
    </row>
    <row r="16" spans="1:13" ht="18" x14ac:dyDescent="0.35">
      <c r="A16" s="23" t="s">
        <v>46</v>
      </c>
      <c r="B16" s="5">
        <v>3</v>
      </c>
      <c r="C16" s="8" t="s">
        <v>12</v>
      </c>
      <c r="D16" s="5">
        <v>0</v>
      </c>
      <c r="E16" s="5">
        <v>7200</v>
      </c>
      <c r="F16" s="8">
        <v>0</v>
      </c>
      <c r="G16" s="17"/>
      <c r="H16" s="17"/>
      <c r="I16" s="17"/>
      <c r="J16" s="9">
        <v>0</v>
      </c>
      <c r="K16" s="1">
        <v>0</v>
      </c>
      <c r="L16" s="6">
        <v>0</v>
      </c>
      <c r="M16" t="s">
        <v>122</v>
      </c>
    </row>
    <row r="17" spans="1:13" ht="18" x14ac:dyDescent="0.35">
      <c r="A17" s="23" t="s">
        <v>46</v>
      </c>
      <c r="B17" s="5">
        <v>3</v>
      </c>
      <c r="C17" s="5" t="s">
        <v>13</v>
      </c>
      <c r="D17" s="5">
        <v>7200</v>
      </c>
      <c r="E17" s="5">
        <v>19800</v>
      </c>
      <c r="F17" s="5">
        <v>720</v>
      </c>
      <c r="G17" s="16"/>
      <c r="H17" s="16"/>
      <c r="I17" s="16"/>
      <c r="J17" s="10">
        <v>0.1</v>
      </c>
      <c r="K17" s="1">
        <v>1260</v>
      </c>
      <c r="L17" s="6">
        <v>540</v>
      </c>
      <c r="M17" t="s">
        <v>122</v>
      </c>
    </row>
    <row r="18" spans="1:13" ht="18" x14ac:dyDescent="0.35">
      <c r="A18" s="23" t="s">
        <v>46</v>
      </c>
      <c r="B18" s="5">
        <v>3</v>
      </c>
      <c r="C18" s="5" t="s">
        <v>14</v>
      </c>
      <c r="D18" s="5">
        <v>19800</v>
      </c>
      <c r="E18" s="5">
        <v>38400</v>
      </c>
      <c r="F18" s="5">
        <v>1710</v>
      </c>
      <c r="G18" s="16"/>
      <c r="H18" s="16"/>
      <c r="I18" s="16"/>
      <c r="J18" s="10">
        <v>0.15</v>
      </c>
      <c r="K18" s="1">
        <v>2790</v>
      </c>
      <c r="L18" s="6">
        <v>1080</v>
      </c>
      <c r="M18" t="s">
        <v>122</v>
      </c>
    </row>
    <row r="19" spans="1:13" ht="18" x14ac:dyDescent="0.35">
      <c r="A19" s="23" t="s">
        <v>46</v>
      </c>
      <c r="B19" s="5">
        <v>3</v>
      </c>
      <c r="C19" s="5" t="s">
        <v>15</v>
      </c>
      <c r="D19" s="5">
        <v>38400</v>
      </c>
      <c r="E19" s="5">
        <v>63000</v>
      </c>
      <c r="F19" s="5">
        <v>3630</v>
      </c>
      <c r="G19" s="16"/>
      <c r="H19" s="16"/>
      <c r="I19" s="16"/>
      <c r="J19" s="10">
        <v>0.2</v>
      </c>
      <c r="K19" s="1">
        <v>4920</v>
      </c>
      <c r="L19" s="6">
        <v>1290</v>
      </c>
      <c r="M19" t="s">
        <v>122</v>
      </c>
    </row>
    <row r="20" spans="1:13" ht="18" x14ac:dyDescent="0.35">
      <c r="A20" s="23" t="s">
        <v>46</v>
      </c>
      <c r="B20" s="5">
        <v>3</v>
      </c>
      <c r="C20" s="5" t="s">
        <v>16</v>
      </c>
      <c r="D20" s="5">
        <v>63000</v>
      </c>
      <c r="E20" s="5">
        <v>93600</v>
      </c>
      <c r="F20" s="5">
        <v>6780</v>
      </c>
      <c r="G20" s="16"/>
      <c r="H20" s="16"/>
      <c r="I20" s="16"/>
      <c r="J20" s="10">
        <v>0.25</v>
      </c>
      <c r="K20" s="1">
        <v>7650</v>
      </c>
      <c r="L20" s="6">
        <v>870</v>
      </c>
      <c r="M20" t="s">
        <v>122</v>
      </c>
    </row>
    <row r="21" spans="1:13" ht="18" x14ac:dyDescent="0.35">
      <c r="A21" s="23" t="s">
        <v>46</v>
      </c>
      <c r="B21" s="5">
        <v>3</v>
      </c>
      <c r="C21" s="5" t="s">
        <v>17</v>
      </c>
      <c r="D21" s="5">
        <v>93600</v>
      </c>
      <c r="E21" s="5">
        <v>130800</v>
      </c>
      <c r="F21" s="5">
        <v>11460</v>
      </c>
      <c r="G21" s="16"/>
      <c r="H21" s="16"/>
      <c r="I21" s="16"/>
      <c r="J21" s="10">
        <v>0.3</v>
      </c>
      <c r="K21" s="1">
        <v>11160</v>
      </c>
      <c r="L21" s="6">
        <v>0</v>
      </c>
      <c r="M21" t="s">
        <v>122</v>
      </c>
    </row>
    <row r="22" spans="1:13" ht="18" x14ac:dyDescent="0.35">
      <c r="A22" s="23" t="s">
        <v>46</v>
      </c>
      <c r="B22" s="5">
        <v>3</v>
      </c>
      <c r="C22" s="5" t="s">
        <v>119</v>
      </c>
      <c r="D22" s="5">
        <v>130800</v>
      </c>
      <c r="E22" s="7">
        <f>IF(D22&lt;=$O$36,$O$36,D22)</f>
        <v>130800</v>
      </c>
      <c r="F22" s="5">
        <v>18000</v>
      </c>
      <c r="G22" s="16"/>
      <c r="H22" s="16"/>
      <c r="I22" s="16"/>
      <c r="J22" s="10">
        <v>0.35</v>
      </c>
      <c r="K22" s="1">
        <v>21070</v>
      </c>
      <c r="L22" s="6">
        <v>3070</v>
      </c>
      <c r="M22" t="s">
        <v>122</v>
      </c>
    </row>
    <row r="23" spans="1:13" ht="18" x14ac:dyDescent="0.35">
      <c r="A23" s="4" t="s">
        <v>48</v>
      </c>
      <c r="B23" s="5">
        <v>4</v>
      </c>
      <c r="C23" s="5" t="s">
        <v>23</v>
      </c>
      <c r="D23">
        <v>0</v>
      </c>
      <c r="E23" s="7">
        <v>60000</v>
      </c>
      <c r="F23" s="18">
        <v>0</v>
      </c>
      <c r="G23" s="16"/>
      <c r="H23" s="14"/>
      <c r="I23" s="14"/>
      <c r="J23" s="9">
        <v>0.1</v>
      </c>
      <c r="K23" s="1">
        <v>6000</v>
      </c>
      <c r="M23" t="s">
        <v>122</v>
      </c>
    </row>
    <row r="24" spans="1:13" ht="18" x14ac:dyDescent="0.35">
      <c r="A24" s="4" t="s">
        <v>49</v>
      </c>
      <c r="B24" s="5">
        <v>5</v>
      </c>
      <c r="C24" s="5" t="s">
        <v>23</v>
      </c>
      <c r="D24">
        <v>0</v>
      </c>
      <c r="E24" s="7">
        <v>60000</v>
      </c>
      <c r="F24" s="18">
        <v>0</v>
      </c>
      <c r="G24" s="16"/>
      <c r="H24" s="14"/>
      <c r="I24" s="14"/>
      <c r="J24" s="9">
        <v>0.1</v>
      </c>
      <c r="K24" s="1">
        <v>6000</v>
      </c>
      <c r="M24" t="s">
        <v>122</v>
      </c>
    </row>
    <row r="25" spans="1:13" ht="18" x14ac:dyDescent="0.35">
      <c r="A25" s="4" t="s">
        <v>50</v>
      </c>
      <c r="B25" s="5">
        <v>6</v>
      </c>
      <c r="C25" s="5" t="s">
        <v>23</v>
      </c>
      <c r="D25">
        <v>0</v>
      </c>
      <c r="E25" s="7">
        <v>60000</v>
      </c>
      <c r="F25" s="18">
        <v>0</v>
      </c>
      <c r="G25" s="16"/>
      <c r="H25" s="14"/>
      <c r="I25" s="14"/>
      <c r="J25" s="9">
        <v>0.15</v>
      </c>
      <c r="K25" s="1">
        <v>9000</v>
      </c>
      <c r="M25" t="s">
        <v>122</v>
      </c>
    </row>
    <row r="26" spans="1:13" ht="18" x14ac:dyDescent="0.35">
      <c r="A26" s="4" t="s">
        <v>51</v>
      </c>
      <c r="B26" s="5">
        <v>7</v>
      </c>
      <c r="C26" s="5" t="s">
        <v>23</v>
      </c>
      <c r="D26">
        <v>0</v>
      </c>
      <c r="E26" s="7">
        <v>60000</v>
      </c>
      <c r="F26" s="18">
        <v>0</v>
      </c>
      <c r="G26" s="16"/>
      <c r="H26" s="14"/>
      <c r="I26" s="14"/>
      <c r="J26" s="9">
        <v>0.05</v>
      </c>
      <c r="K26" s="1">
        <v>3000</v>
      </c>
      <c r="M26" t="s">
        <v>122</v>
      </c>
    </row>
    <row r="27" spans="1:13" ht="18" x14ac:dyDescent="0.35">
      <c r="A27" s="4" t="s">
        <v>24</v>
      </c>
      <c r="B27" s="5">
        <v>8</v>
      </c>
      <c r="C27" s="5" t="s">
        <v>23</v>
      </c>
      <c r="D27">
        <v>0</v>
      </c>
      <c r="E27" s="7">
        <v>60000</v>
      </c>
      <c r="F27" s="18">
        <v>0</v>
      </c>
      <c r="G27" s="16"/>
      <c r="H27" s="14"/>
      <c r="I27" s="14"/>
      <c r="J27" s="9">
        <v>0.15</v>
      </c>
      <c r="K27" s="1">
        <v>9000</v>
      </c>
      <c r="M27" t="s">
        <v>122</v>
      </c>
    </row>
    <row r="28" spans="1:13" ht="18" x14ac:dyDescent="0.35">
      <c r="A28" s="24" t="s">
        <v>47</v>
      </c>
      <c r="B28" s="5">
        <v>9</v>
      </c>
      <c r="C28" s="5" t="s">
        <v>23</v>
      </c>
      <c r="D28">
        <v>0</v>
      </c>
      <c r="E28" s="7">
        <v>60000</v>
      </c>
      <c r="F28" s="18">
        <v>0</v>
      </c>
      <c r="G28" s="16"/>
      <c r="H28" s="14"/>
      <c r="I28" s="14"/>
      <c r="J28" s="9">
        <v>0.05</v>
      </c>
      <c r="K28" s="1">
        <v>3000</v>
      </c>
      <c r="M28" t="s">
        <v>122</v>
      </c>
    </row>
    <row r="29" spans="1:13" ht="18" x14ac:dyDescent="0.35">
      <c r="A29" s="20" t="s">
        <v>44</v>
      </c>
      <c r="B29" s="4">
        <v>1</v>
      </c>
      <c r="C29" s="20" t="s">
        <v>25</v>
      </c>
      <c r="D29" s="20">
        <v>0</v>
      </c>
      <c r="E29" s="20">
        <v>2000</v>
      </c>
      <c r="F29" s="20">
        <v>0</v>
      </c>
      <c r="G29" s="14"/>
      <c r="H29" s="14"/>
      <c r="I29" s="14"/>
      <c r="J29" s="21">
        <v>0</v>
      </c>
      <c r="K29" s="20">
        <v>0</v>
      </c>
      <c r="L29" s="20">
        <v>0</v>
      </c>
      <c r="M29" t="s">
        <v>123</v>
      </c>
    </row>
    <row r="30" spans="1:13" ht="18" x14ac:dyDescent="0.35">
      <c r="A30" s="20" t="s">
        <v>44</v>
      </c>
      <c r="B30" s="4">
        <v>1</v>
      </c>
      <c r="C30" s="20" t="s">
        <v>26</v>
      </c>
      <c r="D30" s="28">
        <f>E29</f>
        <v>2000</v>
      </c>
      <c r="E30" s="20">
        <v>4000</v>
      </c>
      <c r="F30" s="20">
        <v>300</v>
      </c>
      <c r="G30" s="14"/>
      <c r="H30" s="14"/>
      <c r="I30" s="14"/>
      <c r="J30" s="21">
        <v>0.15</v>
      </c>
      <c r="K30" s="20">
        <v>299.84999999999997</v>
      </c>
      <c r="L30" s="20">
        <v>0</v>
      </c>
      <c r="M30" t="s">
        <v>123</v>
      </c>
    </row>
    <row r="31" spans="1:13" ht="18" x14ac:dyDescent="0.35">
      <c r="A31" s="20" t="s">
        <v>44</v>
      </c>
      <c r="B31" s="4">
        <v>1</v>
      </c>
      <c r="C31" s="20" t="s">
        <v>27</v>
      </c>
      <c r="D31" s="28">
        <f t="shared" ref="D31:D34" si="0">E30</f>
        <v>4000</v>
      </c>
      <c r="E31" s="20">
        <v>7000</v>
      </c>
      <c r="F31" s="20">
        <v>500</v>
      </c>
      <c r="G31" s="14"/>
      <c r="H31" s="14"/>
      <c r="I31" s="14"/>
      <c r="J31" s="21">
        <v>0.2</v>
      </c>
      <c r="K31" s="20">
        <v>599.80000000000007</v>
      </c>
      <c r="L31" s="20">
        <v>99.800000000000068</v>
      </c>
      <c r="M31" t="s">
        <v>123</v>
      </c>
    </row>
    <row r="32" spans="1:13" ht="18" x14ac:dyDescent="0.35">
      <c r="A32" s="20" t="s">
        <v>44</v>
      </c>
      <c r="B32" s="4">
        <v>1</v>
      </c>
      <c r="C32" s="20" t="s">
        <v>28</v>
      </c>
      <c r="D32" s="28">
        <f t="shared" si="0"/>
        <v>7000</v>
      </c>
      <c r="E32" s="20">
        <v>10000</v>
      </c>
      <c r="F32" s="20">
        <v>850</v>
      </c>
      <c r="G32" s="14"/>
      <c r="H32" s="14"/>
      <c r="I32" s="14"/>
      <c r="J32" s="21">
        <v>0.25</v>
      </c>
      <c r="K32" s="20">
        <v>749.75</v>
      </c>
      <c r="L32" s="20">
        <v>0</v>
      </c>
      <c r="M32" t="s">
        <v>123</v>
      </c>
    </row>
    <row r="33" spans="1:13" ht="18" x14ac:dyDescent="0.35">
      <c r="A33" s="20" t="s">
        <v>44</v>
      </c>
      <c r="B33" s="4">
        <v>1</v>
      </c>
      <c r="C33" s="20" t="s">
        <v>29</v>
      </c>
      <c r="D33" s="28">
        <f t="shared" si="0"/>
        <v>10000</v>
      </c>
      <c r="E33" s="20">
        <v>14000</v>
      </c>
      <c r="F33" s="20">
        <v>1350</v>
      </c>
      <c r="G33" s="14"/>
      <c r="H33" s="14"/>
      <c r="I33" s="14"/>
      <c r="J33" s="21">
        <v>0.3</v>
      </c>
      <c r="K33" s="20">
        <v>1199.7</v>
      </c>
      <c r="L33" s="20">
        <v>0</v>
      </c>
      <c r="M33" t="s">
        <v>123</v>
      </c>
    </row>
    <row r="34" spans="1:13" ht="18" x14ac:dyDescent="0.35">
      <c r="A34" s="20" t="s">
        <v>44</v>
      </c>
      <c r="B34" s="4">
        <v>1</v>
      </c>
      <c r="C34" s="20" t="s">
        <v>120</v>
      </c>
      <c r="D34" s="28">
        <f t="shared" si="0"/>
        <v>14000</v>
      </c>
      <c r="E34" s="20">
        <v>30000</v>
      </c>
      <c r="F34" s="20">
        <v>2050</v>
      </c>
      <c r="G34" s="14"/>
      <c r="H34" s="14"/>
      <c r="I34" s="14"/>
      <c r="J34" s="21">
        <v>0.35</v>
      </c>
      <c r="K34" s="20">
        <v>5599.65</v>
      </c>
      <c r="L34" s="20">
        <v>3549.6499999999996</v>
      </c>
      <c r="M34" t="s">
        <v>123</v>
      </c>
    </row>
    <row r="35" spans="1:13" ht="18" x14ac:dyDescent="0.35">
      <c r="A35" s="20" t="s">
        <v>31</v>
      </c>
      <c r="B35" s="4">
        <v>2</v>
      </c>
      <c r="C35" s="20" t="s">
        <v>32</v>
      </c>
      <c r="D35" s="28">
        <v>0</v>
      </c>
      <c r="E35" s="20">
        <v>24000</v>
      </c>
      <c r="F35" s="20">
        <v>0</v>
      </c>
      <c r="G35" s="14"/>
      <c r="H35" s="14"/>
      <c r="I35" s="14"/>
      <c r="J35" s="21">
        <v>0</v>
      </c>
      <c r="K35" s="20">
        <v>0</v>
      </c>
      <c r="L35" s="20">
        <v>0</v>
      </c>
      <c r="M35" t="s">
        <v>123</v>
      </c>
    </row>
    <row r="36" spans="1:13" ht="18" x14ac:dyDescent="0.35">
      <c r="A36" s="20" t="s">
        <v>31</v>
      </c>
      <c r="B36" s="4">
        <v>2</v>
      </c>
      <c r="C36" s="20" t="s">
        <v>33</v>
      </c>
      <c r="D36" s="28">
        <f>E35</f>
        <v>24000</v>
      </c>
      <c r="E36" s="20">
        <v>48000</v>
      </c>
      <c r="F36" s="20"/>
      <c r="G36" s="14"/>
      <c r="H36" s="14"/>
      <c r="I36" s="14"/>
      <c r="J36" s="21">
        <v>0.15</v>
      </c>
      <c r="K36" s="20">
        <v>3599.85</v>
      </c>
      <c r="L36" s="20">
        <v>3599.85</v>
      </c>
      <c r="M36" t="s">
        <v>123</v>
      </c>
    </row>
    <row r="37" spans="1:13" ht="18" x14ac:dyDescent="0.35">
      <c r="A37" s="20" t="s">
        <v>31</v>
      </c>
      <c r="B37" s="4">
        <v>2</v>
      </c>
      <c r="C37" s="20" t="s">
        <v>34</v>
      </c>
      <c r="D37" s="28">
        <f t="shared" ref="D37:D40" si="1">E36</f>
        <v>48000</v>
      </c>
      <c r="E37" s="20">
        <v>84000</v>
      </c>
      <c r="F37" s="20"/>
      <c r="G37" s="14"/>
      <c r="H37" s="14"/>
      <c r="I37" s="14"/>
      <c r="J37" s="21">
        <v>0.2</v>
      </c>
      <c r="K37" s="20">
        <v>7199.8</v>
      </c>
      <c r="L37" s="20">
        <v>7199.8</v>
      </c>
      <c r="M37" t="s">
        <v>123</v>
      </c>
    </row>
    <row r="38" spans="1:13" ht="18" x14ac:dyDescent="0.35">
      <c r="A38" s="20" t="s">
        <v>31</v>
      </c>
      <c r="B38" s="4">
        <v>2</v>
      </c>
      <c r="C38" s="20" t="s">
        <v>35</v>
      </c>
      <c r="D38" s="28">
        <f t="shared" si="1"/>
        <v>84000</v>
      </c>
      <c r="E38" s="20">
        <v>120000</v>
      </c>
      <c r="F38" s="20"/>
      <c r="G38" s="14"/>
      <c r="H38" s="14"/>
      <c r="I38" s="14"/>
      <c r="J38" s="21">
        <v>0.25</v>
      </c>
      <c r="K38" s="20">
        <v>8999.75</v>
      </c>
      <c r="L38" s="20">
        <v>8999.75</v>
      </c>
      <c r="M38" t="s">
        <v>123</v>
      </c>
    </row>
    <row r="39" spans="1:13" ht="18" x14ac:dyDescent="0.35">
      <c r="A39" s="20" t="s">
        <v>31</v>
      </c>
      <c r="B39" s="4">
        <v>2</v>
      </c>
      <c r="C39" s="20" t="s">
        <v>36</v>
      </c>
      <c r="D39" s="28">
        <f t="shared" si="1"/>
        <v>120000</v>
      </c>
      <c r="E39" s="20">
        <v>168000</v>
      </c>
      <c r="F39" s="20"/>
      <c r="G39" s="14"/>
      <c r="H39" s="14"/>
      <c r="I39" s="14"/>
      <c r="J39" s="21">
        <v>0.3</v>
      </c>
      <c r="K39" s="20">
        <v>14399.699999999999</v>
      </c>
      <c r="L39" s="20">
        <v>14399.699999999999</v>
      </c>
      <c r="M39" t="s">
        <v>123</v>
      </c>
    </row>
    <row r="40" spans="1:13" ht="18" x14ac:dyDescent="0.35">
      <c r="A40" s="20" t="s">
        <v>31</v>
      </c>
      <c r="B40" s="4">
        <v>2</v>
      </c>
      <c r="C40" s="20" t="s">
        <v>121</v>
      </c>
      <c r="D40" s="28">
        <f t="shared" si="1"/>
        <v>168000</v>
      </c>
      <c r="E40" s="20">
        <v>168001</v>
      </c>
      <c r="F40" s="20"/>
      <c r="G40" s="14"/>
      <c r="H40" s="14"/>
      <c r="I40" s="14"/>
      <c r="J40" s="21">
        <v>0.35</v>
      </c>
      <c r="K40" s="20">
        <v>0</v>
      </c>
      <c r="L40" s="20">
        <v>0</v>
      </c>
      <c r="M40" t="s">
        <v>123</v>
      </c>
    </row>
    <row r="41" spans="1:13" ht="18" x14ac:dyDescent="0.35">
      <c r="A41" s="20" t="s">
        <v>38</v>
      </c>
      <c r="B41" s="4">
        <v>3</v>
      </c>
      <c r="C41" s="20" t="s">
        <v>32</v>
      </c>
      <c r="D41" s="28">
        <v>0</v>
      </c>
      <c r="E41" s="20">
        <v>24000</v>
      </c>
      <c r="F41" s="20">
        <v>0</v>
      </c>
      <c r="G41" s="14"/>
      <c r="H41" s="14"/>
      <c r="I41" s="14"/>
      <c r="J41" s="21">
        <v>0</v>
      </c>
      <c r="K41" s="20">
        <v>0</v>
      </c>
      <c r="L41" s="20">
        <v>0</v>
      </c>
      <c r="M41" t="s">
        <v>123</v>
      </c>
    </row>
    <row r="42" spans="1:13" ht="18" x14ac:dyDescent="0.35">
      <c r="A42" s="20" t="s">
        <v>38</v>
      </c>
      <c r="B42" s="4">
        <v>3</v>
      </c>
      <c r="C42" s="20" t="s">
        <v>33</v>
      </c>
      <c r="D42" s="28">
        <f>E41</f>
        <v>24000</v>
      </c>
      <c r="E42" s="20">
        <v>48000</v>
      </c>
      <c r="F42" s="20"/>
      <c r="G42" s="14"/>
      <c r="H42" s="14"/>
      <c r="I42" s="14"/>
      <c r="J42" s="21">
        <v>0.15</v>
      </c>
      <c r="K42" s="20">
        <v>3599.85</v>
      </c>
      <c r="L42" s="20">
        <v>3599.85</v>
      </c>
      <c r="M42" t="s">
        <v>123</v>
      </c>
    </row>
    <row r="43" spans="1:13" ht="18" x14ac:dyDescent="0.35">
      <c r="A43" s="20" t="s">
        <v>38</v>
      </c>
      <c r="B43" s="4">
        <v>3</v>
      </c>
      <c r="C43" s="20" t="s">
        <v>34</v>
      </c>
      <c r="D43" s="28">
        <f t="shared" ref="D43:D46" si="2">E42</f>
        <v>48000</v>
      </c>
      <c r="E43" s="20">
        <v>84000</v>
      </c>
      <c r="F43" s="20"/>
      <c r="G43" s="14"/>
      <c r="H43" s="14"/>
      <c r="I43" s="14"/>
      <c r="J43" s="21">
        <v>0.2</v>
      </c>
      <c r="K43" s="20">
        <v>7199.8</v>
      </c>
      <c r="L43" s="20">
        <v>7199.8</v>
      </c>
      <c r="M43" t="s">
        <v>123</v>
      </c>
    </row>
    <row r="44" spans="1:13" ht="18" x14ac:dyDescent="0.35">
      <c r="A44" s="20" t="s">
        <v>38</v>
      </c>
      <c r="B44" s="4">
        <v>3</v>
      </c>
      <c r="C44" s="20" t="s">
        <v>35</v>
      </c>
      <c r="D44" s="28">
        <f t="shared" si="2"/>
        <v>84000</v>
      </c>
      <c r="E44" s="20">
        <v>120000</v>
      </c>
      <c r="F44" s="20"/>
      <c r="G44" s="14"/>
      <c r="H44" s="14"/>
      <c r="I44" s="14"/>
      <c r="J44" s="21">
        <v>0.25</v>
      </c>
      <c r="K44" s="20">
        <v>8999.75</v>
      </c>
      <c r="L44" s="20">
        <v>8999.75</v>
      </c>
      <c r="M44" t="s">
        <v>123</v>
      </c>
    </row>
    <row r="45" spans="1:13" ht="18" x14ac:dyDescent="0.35">
      <c r="A45" s="20" t="s">
        <v>38</v>
      </c>
      <c r="B45" s="4">
        <v>3</v>
      </c>
      <c r="C45" s="20" t="s">
        <v>36</v>
      </c>
      <c r="D45" s="28">
        <f t="shared" si="2"/>
        <v>120000</v>
      </c>
      <c r="E45" s="20">
        <v>168000</v>
      </c>
      <c r="F45" s="20"/>
      <c r="G45" s="14"/>
      <c r="H45" s="14"/>
      <c r="I45" s="14"/>
      <c r="J45" s="21">
        <v>0.3</v>
      </c>
      <c r="K45" s="20">
        <v>14399.699999999999</v>
      </c>
      <c r="L45" s="20">
        <v>14399.699999999999</v>
      </c>
      <c r="M45" t="s">
        <v>123</v>
      </c>
    </row>
    <row r="46" spans="1:13" ht="18" x14ac:dyDescent="0.35">
      <c r="A46" s="20" t="s">
        <v>38</v>
      </c>
      <c r="B46" s="4">
        <v>3</v>
      </c>
      <c r="C46" s="20" t="s">
        <v>121</v>
      </c>
      <c r="D46" s="28">
        <f t="shared" si="2"/>
        <v>168000</v>
      </c>
      <c r="E46" s="20">
        <v>158000</v>
      </c>
      <c r="F46" s="20"/>
      <c r="G46" s="14"/>
      <c r="H46" s="14"/>
      <c r="I46" s="14"/>
      <c r="J46" s="21">
        <v>0.35</v>
      </c>
      <c r="K46" s="20">
        <v>0</v>
      </c>
      <c r="L46" s="20">
        <v>0</v>
      </c>
      <c r="M46" t="s">
        <v>123</v>
      </c>
    </row>
    <row r="47" spans="1:13" ht="18" x14ac:dyDescent="0.35">
      <c r="A47" s="20" t="s">
        <v>39</v>
      </c>
      <c r="B47" s="4">
        <v>4</v>
      </c>
      <c r="C47" s="20" t="s">
        <v>23</v>
      </c>
      <c r="D47" s="28"/>
      <c r="E47" s="20"/>
      <c r="F47" s="20">
        <v>0</v>
      </c>
      <c r="G47" s="14"/>
      <c r="H47" s="14"/>
      <c r="I47" s="14"/>
      <c r="J47" s="21">
        <v>0.15</v>
      </c>
      <c r="K47" s="20">
        <v>28650</v>
      </c>
      <c r="L47" s="20">
        <v>28650</v>
      </c>
      <c r="M47" t="s">
        <v>123</v>
      </c>
    </row>
    <row r="48" spans="1:13" ht="18" x14ac:dyDescent="0.35">
      <c r="A48" s="20" t="s">
        <v>40</v>
      </c>
      <c r="B48" s="4">
        <v>5</v>
      </c>
      <c r="C48" s="20" t="s">
        <v>23</v>
      </c>
      <c r="D48" s="28"/>
      <c r="E48" s="20"/>
      <c r="F48" s="20">
        <v>0</v>
      </c>
      <c r="G48" s="14"/>
      <c r="H48" s="14"/>
      <c r="I48" s="14"/>
      <c r="J48" s="21">
        <v>0.1</v>
      </c>
      <c r="K48" s="20">
        <v>2865</v>
      </c>
      <c r="L48" s="20">
        <v>2865</v>
      </c>
      <c r="M48" t="s">
        <v>123</v>
      </c>
    </row>
    <row r="49" spans="1:13" ht="18" x14ac:dyDescent="0.35">
      <c r="A49" s="20" t="s">
        <v>41</v>
      </c>
      <c r="B49" s="4">
        <v>6</v>
      </c>
      <c r="C49" s="20" t="s">
        <v>23</v>
      </c>
      <c r="D49" s="28"/>
      <c r="E49" s="20"/>
      <c r="F49" s="20">
        <v>0</v>
      </c>
      <c r="G49" s="14"/>
      <c r="H49" s="14"/>
      <c r="I49" s="14"/>
      <c r="J49" s="21">
        <v>0.2</v>
      </c>
      <c r="K49" s="20">
        <v>573</v>
      </c>
      <c r="L49" s="20">
        <v>573</v>
      </c>
      <c r="M49" t="s">
        <v>123</v>
      </c>
    </row>
    <row r="50" spans="1:13" ht="18" x14ac:dyDescent="0.35">
      <c r="A50" s="20" t="s">
        <v>42</v>
      </c>
      <c r="B50" s="4">
        <v>7</v>
      </c>
      <c r="C50" s="20" t="s">
        <v>23</v>
      </c>
      <c r="D50" s="28"/>
      <c r="E50" s="20"/>
      <c r="F50" s="20">
        <v>0</v>
      </c>
      <c r="G50" s="14"/>
      <c r="H50" s="14"/>
      <c r="I50" s="14"/>
      <c r="J50" s="21">
        <v>0.15</v>
      </c>
      <c r="K50" s="20">
        <v>85.95</v>
      </c>
      <c r="L50" s="20">
        <v>85.95</v>
      </c>
      <c r="M50" t="s">
        <v>123</v>
      </c>
    </row>
    <row r="51" spans="1:13" ht="18" x14ac:dyDescent="0.35">
      <c r="A51" s="20" t="s">
        <v>43</v>
      </c>
      <c r="B51" s="4">
        <v>8</v>
      </c>
      <c r="C51" s="20" t="s">
        <v>23</v>
      </c>
      <c r="D51" s="28"/>
      <c r="E51" s="20"/>
      <c r="F51" s="20">
        <v>0</v>
      </c>
      <c r="G51" s="14"/>
      <c r="H51" s="14"/>
      <c r="I51" s="14"/>
      <c r="J51" s="21">
        <v>0.15</v>
      </c>
      <c r="K51" s="20">
        <v>12.8925</v>
      </c>
      <c r="L51" s="20">
        <v>12.8925</v>
      </c>
      <c r="M51" t="s">
        <v>123</v>
      </c>
    </row>
    <row r="52" spans="1:13" ht="18.600000000000001" thickBot="1" x14ac:dyDescent="0.4">
      <c r="A52" t="s">
        <v>116</v>
      </c>
      <c r="B52" s="40">
        <v>9</v>
      </c>
      <c r="C52" s="36" t="s">
        <v>98</v>
      </c>
      <c r="D52">
        <v>0</v>
      </c>
      <c r="E52">
        <v>100000</v>
      </c>
      <c r="G52" s="26"/>
      <c r="H52" s="26"/>
      <c r="I52" s="26"/>
      <c r="J52" s="42">
        <v>0.02</v>
      </c>
      <c r="M52" t="s">
        <v>123</v>
      </c>
    </row>
    <row r="53" spans="1:13" ht="18.600000000000001" thickBot="1" x14ac:dyDescent="0.4">
      <c r="A53" t="s">
        <v>116</v>
      </c>
      <c r="B53" s="40">
        <v>9</v>
      </c>
      <c r="C53" s="36" t="s">
        <v>99</v>
      </c>
      <c r="D53">
        <f>E52</f>
        <v>100000</v>
      </c>
      <c r="E53">
        <v>500000</v>
      </c>
      <c r="G53" s="26"/>
      <c r="H53" s="26"/>
      <c r="I53" s="26"/>
      <c r="J53" s="42">
        <v>0.03</v>
      </c>
      <c r="M53" t="s">
        <v>123</v>
      </c>
    </row>
    <row r="54" spans="1:13" ht="18.600000000000001" thickBot="1" x14ac:dyDescent="0.4">
      <c r="A54" t="s">
        <v>116</v>
      </c>
      <c r="B54" s="40">
        <v>9</v>
      </c>
      <c r="C54" s="36" t="s">
        <v>111</v>
      </c>
      <c r="D54">
        <f t="shared" ref="D54:D56" si="3">E53</f>
        <v>500000</v>
      </c>
      <c r="E54">
        <v>1000000</v>
      </c>
      <c r="G54" s="26"/>
      <c r="H54" s="26"/>
      <c r="I54" s="26"/>
      <c r="J54" s="42">
        <v>0.05</v>
      </c>
      <c r="M54" t="s">
        <v>123</v>
      </c>
    </row>
    <row r="55" spans="1:13" ht="18.600000000000001" thickBot="1" x14ac:dyDescent="0.4">
      <c r="A55" t="s">
        <v>116</v>
      </c>
      <c r="B55" s="40">
        <v>9</v>
      </c>
      <c r="C55" s="36" t="s">
        <v>101</v>
      </c>
      <c r="D55">
        <f t="shared" si="3"/>
        <v>1000000</v>
      </c>
      <c r="E55">
        <v>1500000</v>
      </c>
      <c r="G55" s="26"/>
      <c r="H55" s="26"/>
      <c r="I55" s="26"/>
      <c r="J55" s="42">
        <v>7.0000000000000007E-2</v>
      </c>
      <c r="M55" t="s">
        <v>123</v>
      </c>
    </row>
    <row r="56" spans="1:13" ht="18.600000000000001" thickBot="1" x14ac:dyDescent="0.4">
      <c r="A56" t="s">
        <v>116</v>
      </c>
      <c r="B56" s="40">
        <v>9</v>
      </c>
      <c r="C56" s="36" t="s">
        <v>102</v>
      </c>
      <c r="D56">
        <f t="shared" si="3"/>
        <v>1500000</v>
      </c>
      <c r="E56">
        <v>2000000</v>
      </c>
      <c r="G56" s="26"/>
      <c r="H56" s="26"/>
      <c r="I56" s="26"/>
      <c r="J56" s="42">
        <v>0.09</v>
      </c>
      <c r="M56" t="s">
        <v>123</v>
      </c>
    </row>
    <row r="57" spans="1:13" ht="18" x14ac:dyDescent="0.35">
      <c r="A57" t="s">
        <v>109</v>
      </c>
      <c r="B57" s="40">
        <v>10</v>
      </c>
      <c r="C57" s="20" t="s">
        <v>23</v>
      </c>
      <c r="D57" s="26"/>
      <c r="E57" s="26"/>
      <c r="J57" s="41">
        <v>0.15</v>
      </c>
      <c r="M57" t="s">
        <v>123</v>
      </c>
    </row>
    <row r="58" spans="1:13" ht="18" x14ac:dyDescent="0.35">
      <c r="A58" t="s">
        <v>110</v>
      </c>
      <c r="B58" s="43">
        <v>11</v>
      </c>
      <c r="C58" s="20" t="s">
        <v>23</v>
      </c>
      <c r="D58" s="26"/>
      <c r="E58" s="26"/>
      <c r="J58" s="41">
        <v>0.05</v>
      </c>
      <c r="M58" t="s">
        <v>123</v>
      </c>
    </row>
    <row r="59" spans="1:13" ht="18" x14ac:dyDescent="0.35">
      <c r="A59" t="s">
        <v>112</v>
      </c>
      <c r="B59" s="43">
        <v>12</v>
      </c>
      <c r="C59" s="20" t="s">
        <v>23</v>
      </c>
      <c r="D59" s="26"/>
      <c r="E59" s="26"/>
      <c r="J59" s="41">
        <v>0.15</v>
      </c>
      <c r="M59" t="s">
        <v>123</v>
      </c>
    </row>
    <row r="60" spans="1:13" ht="18" x14ac:dyDescent="0.35">
      <c r="A60" t="s">
        <v>113</v>
      </c>
      <c r="B60" s="43">
        <v>13</v>
      </c>
      <c r="C60" s="20" t="s">
        <v>23</v>
      </c>
      <c r="D60" s="26"/>
      <c r="E60" s="26"/>
      <c r="J60" s="41">
        <v>0.15</v>
      </c>
      <c r="M60" t="s">
        <v>123</v>
      </c>
    </row>
    <row r="61" spans="1:13" ht="18" x14ac:dyDescent="0.35">
      <c r="A61" s="44" t="s">
        <v>117</v>
      </c>
      <c r="B61" s="43">
        <v>14</v>
      </c>
      <c r="C61" t="s">
        <v>23</v>
      </c>
      <c r="J61" s="41">
        <v>0.15</v>
      </c>
      <c r="M61" t="s">
        <v>123</v>
      </c>
    </row>
    <row r="62" spans="1:13" ht="18" x14ac:dyDescent="0.35">
      <c r="A62" t="s">
        <v>114</v>
      </c>
      <c r="B62" s="43">
        <v>15</v>
      </c>
      <c r="C62" t="s">
        <v>23</v>
      </c>
      <c r="J62" s="41">
        <v>0.1</v>
      </c>
      <c r="M62" t="s">
        <v>123</v>
      </c>
    </row>
    <row r="63" spans="1:13" ht="18" x14ac:dyDescent="0.35">
      <c r="A63" t="s">
        <v>115</v>
      </c>
      <c r="B63" s="43">
        <v>16</v>
      </c>
      <c r="C63" t="s">
        <v>23</v>
      </c>
      <c r="J63" s="41">
        <v>0.15</v>
      </c>
      <c r="M63" t="s">
        <v>123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0ADE-6707-4897-B663-D591C3E37C94}">
  <dimension ref="A1:M67"/>
  <sheetViews>
    <sheetView topLeftCell="A46" workbookViewId="0">
      <selection activeCell="A65" sqref="A65"/>
    </sheetView>
  </sheetViews>
  <sheetFormatPr defaultRowHeight="14.4" x14ac:dyDescent="0.3"/>
  <cols>
    <col min="1" max="1" width="37" bestFit="1" customWidth="1"/>
    <col min="2" max="2" width="14.44140625" bestFit="1" customWidth="1"/>
    <col min="3" max="3" width="10.88671875" bestFit="1" customWidth="1"/>
    <col min="4" max="4" width="7.88671875" bestFit="1" customWidth="1"/>
    <col min="5" max="5" width="8.5546875" bestFit="1" customWidth="1"/>
    <col min="6" max="6" width="19.21875" bestFit="1" customWidth="1"/>
    <col min="7" max="7" width="12.88671875" bestFit="1" customWidth="1"/>
    <col min="8" max="8" width="10.109375" bestFit="1" customWidth="1"/>
    <col min="9" max="9" width="12" bestFit="1" customWidth="1"/>
    <col min="10" max="10" width="17.88671875" bestFit="1" customWidth="1"/>
    <col min="11" max="11" width="15.5546875" bestFit="1" customWidth="1"/>
    <col min="12" max="12" width="16.21875" bestFit="1" customWidth="1"/>
    <col min="13" max="13" width="15.88671875" bestFit="1" customWidth="1"/>
  </cols>
  <sheetData>
    <row r="1" spans="1:13" ht="28.8" x14ac:dyDescent="0.55000000000000004">
      <c r="A1" s="11" t="s">
        <v>18</v>
      </c>
      <c r="B1" s="11" t="s">
        <v>19</v>
      </c>
      <c r="C1" s="11" t="s">
        <v>0</v>
      </c>
      <c r="D1" s="11" t="s">
        <v>1</v>
      </c>
      <c r="E1" s="11" t="s">
        <v>2</v>
      </c>
      <c r="F1" s="11" t="s">
        <v>8</v>
      </c>
      <c r="G1" s="11" t="s">
        <v>22</v>
      </c>
      <c r="H1" s="11" t="s">
        <v>20</v>
      </c>
      <c r="I1" s="11" t="s">
        <v>21</v>
      </c>
      <c r="J1" s="11" t="s">
        <v>9</v>
      </c>
      <c r="K1" s="11" t="s">
        <v>10</v>
      </c>
      <c r="L1" s="19" t="s">
        <v>11</v>
      </c>
      <c r="M1" s="22" t="s">
        <v>45</v>
      </c>
    </row>
    <row r="2" spans="1:13" ht="18" x14ac:dyDescent="0.35">
      <c r="A2" s="20" t="s">
        <v>44</v>
      </c>
      <c r="B2" s="4">
        <v>1</v>
      </c>
      <c r="C2" s="20" t="s">
        <v>25</v>
      </c>
      <c r="D2" s="20">
        <v>0</v>
      </c>
      <c r="E2" s="20">
        <v>2000</v>
      </c>
      <c r="F2" s="20">
        <v>0</v>
      </c>
      <c r="G2" s="14"/>
      <c r="H2" s="14"/>
      <c r="I2" s="14"/>
      <c r="J2" s="21">
        <v>0</v>
      </c>
      <c r="K2" s="20">
        <v>0</v>
      </c>
      <c r="L2" s="20">
        <v>0</v>
      </c>
    </row>
    <row r="3" spans="1:13" ht="18" x14ac:dyDescent="0.35">
      <c r="A3" s="20" t="s">
        <v>44</v>
      </c>
      <c r="B3" s="4">
        <v>1</v>
      </c>
      <c r="C3" s="20" t="s">
        <v>26</v>
      </c>
      <c r="D3" s="20">
        <v>2001</v>
      </c>
      <c r="E3" s="20">
        <v>4000</v>
      </c>
      <c r="F3" s="20">
        <v>300</v>
      </c>
      <c r="G3" s="14"/>
      <c r="H3" s="14"/>
      <c r="I3" s="14"/>
      <c r="J3" s="21">
        <v>0.15</v>
      </c>
      <c r="K3" s="20">
        <v>299.84999999999997</v>
      </c>
      <c r="L3" s="20">
        <v>0</v>
      </c>
    </row>
    <row r="4" spans="1:13" ht="18" x14ac:dyDescent="0.35">
      <c r="A4" s="20" t="s">
        <v>44</v>
      </c>
      <c r="B4" s="4">
        <v>1</v>
      </c>
      <c r="C4" s="20" t="s">
        <v>27</v>
      </c>
      <c r="D4" s="20">
        <v>4001</v>
      </c>
      <c r="E4" s="20">
        <v>7000</v>
      </c>
      <c r="F4" s="20">
        <v>500</v>
      </c>
      <c r="G4" s="14"/>
      <c r="H4" s="14"/>
      <c r="I4" s="14"/>
      <c r="J4" s="21">
        <v>0.2</v>
      </c>
      <c r="K4" s="20">
        <v>599.80000000000007</v>
      </c>
      <c r="L4" s="20">
        <v>99.800000000000068</v>
      </c>
    </row>
    <row r="5" spans="1:13" ht="18" x14ac:dyDescent="0.35">
      <c r="A5" s="20" t="s">
        <v>44</v>
      </c>
      <c r="B5" s="4">
        <v>1</v>
      </c>
      <c r="C5" s="20" t="s">
        <v>28</v>
      </c>
      <c r="D5" s="20">
        <v>7001</v>
      </c>
      <c r="E5" s="20">
        <v>10000</v>
      </c>
      <c r="F5" s="20">
        <v>850</v>
      </c>
      <c r="G5" s="14"/>
      <c r="H5" s="14"/>
      <c r="I5" s="14"/>
      <c r="J5" s="21">
        <v>0.25</v>
      </c>
      <c r="K5" s="20">
        <v>749.75</v>
      </c>
      <c r="L5" s="20">
        <v>0</v>
      </c>
    </row>
    <row r="6" spans="1:13" ht="18" x14ac:dyDescent="0.35">
      <c r="A6" s="20" t="s">
        <v>44</v>
      </c>
      <c r="B6" s="4">
        <v>1</v>
      </c>
      <c r="C6" s="20" t="s">
        <v>29</v>
      </c>
      <c r="D6" s="20">
        <v>10001</v>
      </c>
      <c r="E6" s="20">
        <v>14000</v>
      </c>
      <c r="F6" s="20">
        <v>1350</v>
      </c>
      <c r="G6" s="14"/>
      <c r="H6" s="14"/>
      <c r="I6" s="14"/>
      <c r="J6" s="21">
        <v>0.3</v>
      </c>
      <c r="K6" s="20">
        <v>1199.7</v>
      </c>
      <c r="L6" s="20">
        <v>0</v>
      </c>
    </row>
    <row r="7" spans="1:13" ht="18" x14ac:dyDescent="0.35">
      <c r="A7" s="20" t="s">
        <v>44</v>
      </c>
      <c r="B7" s="4">
        <v>1</v>
      </c>
      <c r="C7" s="20" t="s">
        <v>30</v>
      </c>
      <c r="D7" s="20">
        <v>14001</v>
      </c>
      <c r="E7" s="20">
        <v>30000</v>
      </c>
      <c r="F7" s="20">
        <v>2050</v>
      </c>
      <c r="G7" s="14"/>
      <c r="H7" s="14"/>
      <c r="I7" s="14"/>
      <c r="J7" s="21">
        <v>0.35</v>
      </c>
      <c r="K7" s="20">
        <v>5599.65</v>
      </c>
      <c r="L7" s="20">
        <v>3549.6499999999996</v>
      </c>
    </row>
    <row r="8" spans="1:13" ht="18" x14ac:dyDescent="0.35">
      <c r="A8" s="20" t="s">
        <v>31</v>
      </c>
      <c r="B8" s="4">
        <v>2</v>
      </c>
      <c r="C8" s="20" t="s">
        <v>32</v>
      </c>
      <c r="D8" s="20">
        <v>0</v>
      </c>
      <c r="E8" s="20">
        <v>24000</v>
      </c>
      <c r="F8" s="20">
        <v>0</v>
      </c>
      <c r="G8" s="14"/>
      <c r="H8" s="14"/>
      <c r="I8" s="14"/>
      <c r="J8" s="21">
        <v>0</v>
      </c>
      <c r="K8" s="20">
        <v>0</v>
      </c>
      <c r="L8" s="20">
        <v>0</v>
      </c>
    </row>
    <row r="9" spans="1:13" ht="18" x14ac:dyDescent="0.35">
      <c r="A9" s="20" t="s">
        <v>31</v>
      </c>
      <c r="B9" s="4">
        <v>2</v>
      </c>
      <c r="C9" s="20" t="s">
        <v>33</v>
      </c>
      <c r="D9" s="20">
        <v>24001</v>
      </c>
      <c r="E9" s="20">
        <v>48000</v>
      </c>
      <c r="F9" s="20"/>
      <c r="G9" s="14"/>
      <c r="H9" s="14"/>
      <c r="I9" s="14"/>
      <c r="J9" s="21">
        <v>0.15</v>
      </c>
      <c r="K9" s="20">
        <v>3599.85</v>
      </c>
      <c r="L9" s="20">
        <v>3599.85</v>
      </c>
    </row>
    <row r="10" spans="1:13" ht="18" x14ac:dyDescent="0.35">
      <c r="A10" s="20" t="s">
        <v>31</v>
      </c>
      <c r="B10" s="4">
        <v>2</v>
      </c>
      <c r="C10" s="20" t="s">
        <v>34</v>
      </c>
      <c r="D10" s="20">
        <v>48001</v>
      </c>
      <c r="E10" s="20">
        <v>84000</v>
      </c>
      <c r="F10" s="20"/>
      <c r="G10" s="14"/>
      <c r="H10" s="14"/>
      <c r="I10" s="14"/>
      <c r="J10" s="21">
        <v>0.2</v>
      </c>
      <c r="K10" s="20">
        <v>7199.8</v>
      </c>
      <c r="L10" s="20">
        <v>7199.8</v>
      </c>
    </row>
    <row r="11" spans="1:13" ht="18" x14ac:dyDescent="0.35">
      <c r="A11" s="20" t="s">
        <v>31</v>
      </c>
      <c r="B11" s="4">
        <v>2</v>
      </c>
      <c r="C11" s="20" t="s">
        <v>35</v>
      </c>
      <c r="D11" s="20">
        <v>84001</v>
      </c>
      <c r="E11" s="20">
        <v>120000</v>
      </c>
      <c r="F11" s="20"/>
      <c r="G11" s="14"/>
      <c r="H11" s="14"/>
      <c r="I11" s="14"/>
      <c r="J11" s="21">
        <v>0.25</v>
      </c>
      <c r="K11" s="20">
        <v>8999.75</v>
      </c>
      <c r="L11" s="20">
        <v>8999.75</v>
      </c>
    </row>
    <row r="12" spans="1:13" ht="18" x14ac:dyDescent="0.35">
      <c r="A12" s="20" t="s">
        <v>31</v>
      </c>
      <c r="B12" s="4">
        <v>2</v>
      </c>
      <c r="C12" s="20" t="s">
        <v>36</v>
      </c>
      <c r="D12" s="20">
        <v>120001</v>
      </c>
      <c r="E12" s="20">
        <v>168000</v>
      </c>
      <c r="F12" s="20"/>
      <c r="G12" s="14"/>
      <c r="H12" s="14"/>
      <c r="I12" s="14"/>
      <c r="J12" s="21">
        <v>0.3</v>
      </c>
      <c r="K12" s="20">
        <v>14399.699999999999</v>
      </c>
      <c r="L12" s="20">
        <v>14399.699999999999</v>
      </c>
    </row>
    <row r="13" spans="1:13" ht="18" x14ac:dyDescent="0.35">
      <c r="A13" s="20" t="s">
        <v>31</v>
      </c>
      <c r="B13" s="4">
        <v>2</v>
      </c>
      <c r="C13" s="20" t="s">
        <v>37</v>
      </c>
      <c r="D13" s="20">
        <v>168001</v>
      </c>
      <c r="E13" s="20">
        <v>168001</v>
      </c>
      <c r="F13" s="20"/>
      <c r="G13" s="14"/>
      <c r="H13" s="14"/>
      <c r="I13" s="14"/>
      <c r="J13" s="21">
        <v>0.35</v>
      </c>
      <c r="K13" s="20">
        <v>0</v>
      </c>
      <c r="L13" s="20">
        <v>0</v>
      </c>
    </row>
    <row r="14" spans="1:13" ht="18" x14ac:dyDescent="0.35">
      <c r="A14" s="20" t="s">
        <v>38</v>
      </c>
      <c r="B14" s="4">
        <v>3</v>
      </c>
      <c r="C14" s="20" t="s">
        <v>32</v>
      </c>
      <c r="D14" s="20">
        <v>0</v>
      </c>
      <c r="E14" s="20">
        <v>24000</v>
      </c>
      <c r="F14" s="20">
        <v>0</v>
      </c>
      <c r="G14" s="14"/>
      <c r="H14" s="14"/>
      <c r="I14" s="14"/>
      <c r="J14" s="21">
        <v>0</v>
      </c>
      <c r="K14" s="20">
        <v>0</v>
      </c>
      <c r="L14" s="20">
        <v>0</v>
      </c>
    </row>
    <row r="15" spans="1:13" ht="18" x14ac:dyDescent="0.35">
      <c r="A15" s="20" t="s">
        <v>38</v>
      </c>
      <c r="B15" s="4">
        <v>3</v>
      </c>
      <c r="C15" s="20" t="s">
        <v>33</v>
      </c>
      <c r="D15" s="20">
        <v>24001</v>
      </c>
      <c r="E15" s="20">
        <v>48000</v>
      </c>
      <c r="F15" s="20"/>
      <c r="G15" s="14"/>
      <c r="H15" s="14"/>
      <c r="I15" s="14"/>
      <c r="J15" s="21">
        <v>0.15</v>
      </c>
      <c r="K15" s="20">
        <v>3599.85</v>
      </c>
      <c r="L15" s="20">
        <v>3599.85</v>
      </c>
    </row>
    <row r="16" spans="1:13" ht="18" x14ac:dyDescent="0.35">
      <c r="A16" s="20" t="s">
        <v>38</v>
      </c>
      <c r="B16" s="4">
        <v>3</v>
      </c>
      <c r="C16" s="20" t="s">
        <v>34</v>
      </c>
      <c r="D16" s="20">
        <v>48001</v>
      </c>
      <c r="E16" s="20">
        <v>84000</v>
      </c>
      <c r="F16" s="20"/>
      <c r="G16" s="14"/>
      <c r="H16" s="14"/>
      <c r="I16" s="14"/>
      <c r="J16" s="21">
        <v>0.2</v>
      </c>
      <c r="K16" s="20">
        <v>7199.8</v>
      </c>
      <c r="L16" s="20">
        <v>7199.8</v>
      </c>
    </row>
    <row r="17" spans="1:12" ht="18" x14ac:dyDescent="0.35">
      <c r="A17" s="20" t="s">
        <v>38</v>
      </c>
      <c r="B17" s="4">
        <v>3</v>
      </c>
      <c r="C17" s="20" t="s">
        <v>35</v>
      </c>
      <c r="D17" s="20">
        <v>84001</v>
      </c>
      <c r="E17" s="20">
        <v>120000</v>
      </c>
      <c r="F17" s="20"/>
      <c r="G17" s="14"/>
      <c r="H17" s="14"/>
      <c r="I17" s="14"/>
      <c r="J17" s="21">
        <v>0.25</v>
      </c>
      <c r="K17" s="20">
        <v>8999.75</v>
      </c>
      <c r="L17" s="20">
        <v>8999.75</v>
      </c>
    </row>
    <row r="18" spans="1:12" ht="18" x14ac:dyDescent="0.35">
      <c r="A18" s="20" t="s">
        <v>38</v>
      </c>
      <c r="B18" s="4">
        <v>3</v>
      </c>
      <c r="C18" s="20" t="s">
        <v>36</v>
      </c>
      <c r="D18" s="20">
        <v>120001</v>
      </c>
      <c r="E18" s="20">
        <v>168000</v>
      </c>
      <c r="F18" s="20"/>
      <c r="G18" s="14"/>
      <c r="H18" s="14"/>
      <c r="I18" s="14"/>
      <c r="J18" s="21">
        <v>0.3</v>
      </c>
      <c r="K18" s="20">
        <v>14399.699999999999</v>
      </c>
      <c r="L18" s="20">
        <v>14399.699999999999</v>
      </c>
    </row>
    <row r="19" spans="1:12" ht="18" x14ac:dyDescent="0.35">
      <c r="A19" s="20" t="s">
        <v>38</v>
      </c>
      <c r="B19" s="4">
        <v>3</v>
      </c>
      <c r="C19" s="20" t="s">
        <v>37</v>
      </c>
      <c r="D19" s="20">
        <v>168001</v>
      </c>
      <c r="E19" s="20">
        <v>158000</v>
      </c>
      <c r="F19" s="20"/>
      <c r="G19" s="14"/>
      <c r="H19" s="14"/>
      <c r="I19" s="14"/>
      <c r="J19" s="21">
        <v>0.35</v>
      </c>
      <c r="K19" s="20">
        <v>0</v>
      </c>
      <c r="L19" s="20">
        <v>0</v>
      </c>
    </row>
    <row r="20" spans="1:12" ht="18" x14ac:dyDescent="0.35">
      <c r="A20" s="20" t="s">
        <v>39</v>
      </c>
      <c r="B20" s="4">
        <v>4</v>
      </c>
      <c r="C20" s="20" t="s">
        <v>23</v>
      </c>
      <c r="D20" s="20"/>
      <c r="E20" s="20"/>
      <c r="F20" s="20">
        <v>0</v>
      </c>
      <c r="G20" s="14"/>
      <c r="H20" s="14"/>
      <c r="I20" s="14"/>
      <c r="J20" s="21">
        <v>0.15</v>
      </c>
      <c r="K20" s="20">
        <v>28650</v>
      </c>
      <c r="L20" s="20">
        <v>28650</v>
      </c>
    </row>
    <row r="21" spans="1:12" ht="18" x14ac:dyDescent="0.35">
      <c r="A21" s="20" t="s">
        <v>40</v>
      </c>
      <c r="B21" s="4">
        <v>5</v>
      </c>
      <c r="C21" s="20" t="s">
        <v>23</v>
      </c>
      <c r="D21" s="20"/>
      <c r="E21" s="20"/>
      <c r="F21" s="20">
        <v>0</v>
      </c>
      <c r="G21" s="14"/>
      <c r="H21" s="14"/>
      <c r="I21" s="14"/>
      <c r="J21" s="21">
        <v>0.1</v>
      </c>
      <c r="K21" s="20">
        <v>2865</v>
      </c>
      <c r="L21" s="20">
        <v>2865</v>
      </c>
    </row>
    <row r="22" spans="1:12" ht="18" x14ac:dyDescent="0.35">
      <c r="A22" s="20" t="s">
        <v>41</v>
      </c>
      <c r="B22" s="4">
        <v>6</v>
      </c>
      <c r="C22" s="20" t="s">
        <v>23</v>
      </c>
      <c r="D22" s="20"/>
      <c r="E22" s="20"/>
      <c r="F22" s="20">
        <v>0</v>
      </c>
      <c r="G22" s="14"/>
      <c r="H22" s="14"/>
      <c r="I22" s="14"/>
      <c r="J22" s="21">
        <v>0.2</v>
      </c>
      <c r="K22" s="20">
        <v>573</v>
      </c>
      <c r="L22" s="20">
        <v>573</v>
      </c>
    </row>
    <row r="23" spans="1:12" ht="18" x14ac:dyDescent="0.35">
      <c r="A23" s="20" t="s">
        <v>42</v>
      </c>
      <c r="B23" s="4">
        <v>7</v>
      </c>
      <c r="C23" s="20" t="s">
        <v>23</v>
      </c>
      <c r="D23" s="20"/>
      <c r="E23" s="20"/>
      <c r="F23" s="20">
        <v>0</v>
      </c>
      <c r="G23" s="14"/>
      <c r="H23" s="14"/>
      <c r="I23" s="14"/>
      <c r="J23" s="21">
        <v>0.15</v>
      </c>
      <c r="K23" s="20">
        <v>85.95</v>
      </c>
      <c r="L23" s="20">
        <v>85.95</v>
      </c>
    </row>
    <row r="24" spans="1:12" ht="18" x14ac:dyDescent="0.35">
      <c r="A24" s="20" t="s">
        <v>43</v>
      </c>
      <c r="B24" s="4">
        <v>8</v>
      </c>
      <c r="C24" s="20" t="s">
        <v>23</v>
      </c>
      <c r="D24" s="20"/>
      <c r="E24" s="20"/>
      <c r="F24" s="20">
        <v>0</v>
      </c>
      <c r="G24" s="14"/>
      <c r="H24" s="14"/>
      <c r="I24" s="14"/>
      <c r="J24" s="21">
        <v>0.15</v>
      </c>
      <c r="K24" s="20">
        <v>12.8925</v>
      </c>
      <c r="L24" s="20">
        <v>12.8925</v>
      </c>
    </row>
    <row r="28" spans="1:12" x14ac:dyDescent="0.3">
      <c r="A28" s="25" t="s">
        <v>38</v>
      </c>
      <c r="B28" s="26" t="s">
        <v>53</v>
      </c>
    </row>
    <row r="29" spans="1:12" x14ac:dyDescent="0.3">
      <c r="A29" s="25" t="s">
        <v>42</v>
      </c>
      <c r="B29" s="26" t="s">
        <v>54</v>
      </c>
    </row>
    <row r="30" spans="1:12" x14ac:dyDescent="0.3">
      <c r="A30" s="25" t="s">
        <v>43</v>
      </c>
      <c r="B30" s="26" t="s">
        <v>55</v>
      </c>
    </row>
    <row r="31" spans="1:12" ht="19.2" customHeight="1" x14ac:dyDescent="0.3">
      <c r="A31" s="25" t="s">
        <v>39</v>
      </c>
      <c r="B31" s="26" t="s">
        <v>56</v>
      </c>
      <c r="F31" s="45" t="s">
        <v>70</v>
      </c>
      <c r="G31" s="45"/>
      <c r="H31" s="45"/>
      <c r="I31" s="45"/>
      <c r="J31" s="45"/>
      <c r="K31" s="45"/>
    </row>
    <row r="32" spans="1:12" ht="15.6" customHeight="1" x14ac:dyDescent="0.3">
      <c r="A32" s="25" t="s">
        <v>44</v>
      </c>
      <c r="B32" s="26" t="s">
        <v>57</v>
      </c>
      <c r="F32" s="45"/>
      <c r="G32" s="45"/>
      <c r="H32" s="45"/>
      <c r="I32" s="45"/>
      <c r="J32" s="45"/>
      <c r="K32" s="45"/>
    </row>
    <row r="33" spans="1:11" x14ac:dyDescent="0.3">
      <c r="A33" s="25" t="s">
        <v>41</v>
      </c>
      <c r="B33" s="26" t="s">
        <v>58</v>
      </c>
      <c r="F33" s="45"/>
      <c r="G33" s="45"/>
      <c r="H33" s="45"/>
      <c r="I33" s="45"/>
      <c r="J33" s="45"/>
      <c r="K33" s="45"/>
    </row>
    <row r="34" spans="1:11" x14ac:dyDescent="0.3">
      <c r="A34" s="25" t="s">
        <v>46</v>
      </c>
      <c r="B34" s="26" t="s">
        <v>59</v>
      </c>
      <c r="F34" s="45"/>
      <c r="G34" s="45"/>
      <c r="H34" s="45"/>
      <c r="I34" s="45"/>
      <c r="J34" s="45"/>
      <c r="K34" s="45"/>
    </row>
    <row r="35" spans="1:11" x14ac:dyDescent="0.3">
      <c r="A35" s="25" t="s">
        <v>49</v>
      </c>
      <c r="B35" s="26" t="s">
        <v>60</v>
      </c>
      <c r="F35" s="45"/>
      <c r="G35" s="45"/>
      <c r="H35" s="45"/>
      <c r="I35" s="45"/>
      <c r="J35" s="45"/>
      <c r="K35" s="45"/>
    </row>
    <row r="36" spans="1:11" x14ac:dyDescent="0.3">
      <c r="A36" s="25" t="s">
        <v>3</v>
      </c>
      <c r="B36" s="26" t="s">
        <v>61</v>
      </c>
      <c r="F36" s="45"/>
      <c r="G36" s="45"/>
      <c r="H36" s="45"/>
      <c r="I36" s="45"/>
      <c r="J36" s="45"/>
      <c r="K36" s="45"/>
    </row>
    <row r="37" spans="1:11" x14ac:dyDescent="0.3">
      <c r="A37" s="25" t="s">
        <v>24</v>
      </c>
      <c r="B37" s="26" t="s">
        <v>62</v>
      </c>
      <c r="F37" s="45"/>
      <c r="G37" s="45"/>
      <c r="H37" s="45"/>
      <c r="I37" s="45"/>
      <c r="J37" s="45"/>
      <c r="K37" s="45"/>
    </row>
    <row r="38" spans="1:11" ht="19.2" x14ac:dyDescent="0.45">
      <c r="A38" s="25" t="s">
        <v>51</v>
      </c>
      <c r="B38" s="27" t="s">
        <v>63</v>
      </c>
      <c r="F38" s="45"/>
      <c r="G38" s="45"/>
      <c r="H38" s="45"/>
      <c r="I38" s="45"/>
      <c r="J38" s="45"/>
      <c r="K38" s="45"/>
    </row>
    <row r="39" spans="1:11" ht="19.2" x14ac:dyDescent="0.45">
      <c r="A39" s="25" t="s">
        <v>52</v>
      </c>
      <c r="B39" s="27" t="s">
        <v>64</v>
      </c>
      <c r="F39" s="45"/>
      <c r="G39" s="45"/>
      <c r="H39" s="45"/>
      <c r="I39" s="45"/>
      <c r="J39" s="45"/>
      <c r="K39" s="45"/>
    </row>
    <row r="40" spans="1:11" ht="19.2" x14ac:dyDescent="0.45">
      <c r="A40" s="25" t="s">
        <v>50</v>
      </c>
      <c r="B40" s="27" t="s">
        <v>65</v>
      </c>
    </row>
    <row r="41" spans="1:11" ht="19.2" x14ac:dyDescent="0.45">
      <c r="A41" s="25" t="s">
        <v>47</v>
      </c>
      <c r="B41" s="27" t="s">
        <v>66</v>
      </c>
    </row>
    <row r="42" spans="1:11" ht="19.2" x14ac:dyDescent="0.45">
      <c r="A42" s="25" t="s">
        <v>48</v>
      </c>
      <c r="B42" s="27" t="s">
        <v>67</v>
      </c>
      <c r="F42" s="45" t="s">
        <v>71</v>
      </c>
      <c r="G42" s="45"/>
      <c r="H42" s="45"/>
      <c r="I42" s="45"/>
      <c r="J42" s="45"/>
      <c r="K42" s="45"/>
    </row>
    <row r="43" spans="1:11" ht="19.2" x14ac:dyDescent="0.45">
      <c r="A43" s="25" t="s">
        <v>31</v>
      </c>
      <c r="B43" s="27" t="s">
        <v>68</v>
      </c>
      <c r="F43" s="45"/>
      <c r="G43" s="45"/>
      <c r="H43" s="45"/>
      <c r="I43" s="45"/>
      <c r="J43" s="45"/>
      <c r="K43" s="45"/>
    </row>
    <row r="44" spans="1:11" ht="19.2" x14ac:dyDescent="0.45">
      <c r="A44" s="25" t="s">
        <v>40</v>
      </c>
      <c r="B44" s="27" t="s">
        <v>69</v>
      </c>
      <c r="F44" s="45"/>
      <c r="G44" s="45"/>
      <c r="H44" s="45"/>
      <c r="I44" s="45"/>
      <c r="J44" s="45"/>
      <c r="K44" s="45"/>
    </row>
    <row r="45" spans="1:11" x14ac:dyDescent="0.3">
      <c r="F45" s="45"/>
      <c r="G45" s="45"/>
      <c r="H45" s="45"/>
      <c r="I45" s="45"/>
      <c r="J45" s="45"/>
      <c r="K45" s="45"/>
    </row>
    <row r="46" spans="1:11" x14ac:dyDescent="0.3">
      <c r="F46" s="45"/>
      <c r="G46" s="45"/>
      <c r="H46" s="45"/>
      <c r="I46" s="45"/>
      <c r="J46" s="45"/>
      <c r="K46" s="45"/>
    </row>
    <row r="47" spans="1:11" x14ac:dyDescent="0.3">
      <c r="F47" s="45"/>
      <c r="G47" s="45"/>
      <c r="H47" s="45"/>
      <c r="I47" s="45"/>
      <c r="J47" s="45"/>
      <c r="K47" s="45"/>
    </row>
    <row r="48" spans="1:11" x14ac:dyDescent="0.3">
      <c r="F48" s="45"/>
      <c r="G48" s="45"/>
      <c r="H48" s="45"/>
      <c r="I48" s="45"/>
      <c r="J48" s="45"/>
      <c r="K48" s="45"/>
    </row>
    <row r="49" spans="1:11" x14ac:dyDescent="0.3">
      <c r="F49" s="45"/>
      <c r="G49" s="45"/>
      <c r="H49" s="45"/>
      <c r="I49" s="45"/>
      <c r="J49" s="45"/>
      <c r="K49" s="45"/>
    </row>
    <row r="51" spans="1:11" x14ac:dyDescent="0.3">
      <c r="A51" t="s">
        <v>108</v>
      </c>
    </row>
    <row r="52" spans="1:11" ht="16.2" thickBot="1" x14ac:dyDescent="0.35">
      <c r="A52" s="32" t="s">
        <v>95</v>
      </c>
      <c r="B52" s="33"/>
    </row>
    <row r="53" spans="1:11" ht="16.2" thickBot="1" x14ac:dyDescent="0.35">
      <c r="A53" s="34" t="s">
        <v>96</v>
      </c>
      <c r="B53" s="35" t="s">
        <v>97</v>
      </c>
    </row>
    <row r="54" spans="1:11" ht="16.2" thickBot="1" x14ac:dyDescent="0.35">
      <c r="A54" s="36" t="s">
        <v>98</v>
      </c>
      <c r="B54" s="37">
        <v>0.02</v>
      </c>
    </row>
    <row r="55" spans="1:11" ht="16.2" thickBot="1" x14ac:dyDescent="0.35">
      <c r="A55" s="36" t="s">
        <v>99</v>
      </c>
      <c r="B55" s="37">
        <v>0.03</v>
      </c>
    </row>
    <row r="56" spans="1:11" ht="16.2" thickBot="1" x14ac:dyDescent="0.35">
      <c r="A56" s="36" t="s">
        <v>100</v>
      </c>
      <c r="B56" s="37">
        <v>0.05</v>
      </c>
    </row>
    <row r="57" spans="1:11" ht="16.2" thickBot="1" x14ac:dyDescent="0.35">
      <c r="A57" s="36" t="s">
        <v>101</v>
      </c>
      <c r="B57" s="37">
        <v>7.0000000000000007E-2</v>
      </c>
    </row>
    <row r="58" spans="1:11" ht="16.2" thickBot="1" x14ac:dyDescent="0.35">
      <c r="A58" s="36" t="s">
        <v>102</v>
      </c>
      <c r="B58" s="37">
        <v>0.09</v>
      </c>
    </row>
    <row r="59" spans="1:11" x14ac:dyDescent="0.3">
      <c r="A59" s="33"/>
      <c r="B59" s="33"/>
    </row>
    <row r="60" spans="1:11" x14ac:dyDescent="0.3">
      <c r="A60" s="33"/>
      <c r="B60" s="33"/>
    </row>
    <row r="61" spans="1:11" x14ac:dyDescent="0.3">
      <c r="A61" s="33" t="s">
        <v>107</v>
      </c>
      <c r="B61" s="33"/>
    </row>
    <row r="62" spans="1:11" x14ac:dyDescent="0.3">
      <c r="A62" s="33"/>
      <c r="B62" s="33"/>
    </row>
    <row r="63" spans="1:11" x14ac:dyDescent="0.3">
      <c r="A63" s="33"/>
      <c r="B63" s="33"/>
    </row>
    <row r="64" spans="1:11" x14ac:dyDescent="0.3">
      <c r="A64" t="s">
        <v>104</v>
      </c>
      <c r="B64" s="38">
        <v>0.05</v>
      </c>
    </row>
    <row r="65" spans="1:2" x14ac:dyDescent="0.3">
      <c r="A65" s="33" t="s">
        <v>103</v>
      </c>
      <c r="B65" s="38">
        <v>0.05</v>
      </c>
    </row>
    <row r="66" spans="1:2" x14ac:dyDescent="0.3">
      <c r="A66" t="s">
        <v>105</v>
      </c>
      <c r="B66" s="38">
        <v>0.15</v>
      </c>
    </row>
    <row r="67" spans="1:2" x14ac:dyDescent="0.3">
      <c r="A67" t="s">
        <v>106</v>
      </c>
      <c r="B67" s="39">
        <v>0.15</v>
      </c>
    </row>
  </sheetData>
  <mergeCells count="2">
    <mergeCell ref="F31:K39"/>
    <mergeCell ref="F42:K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6A-BBA1-4B70-9A3C-BB48CE6F1999}">
  <dimension ref="A1:R88"/>
  <sheetViews>
    <sheetView topLeftCell="A59" workbookViewId="0">
      <selection activeCell="M67" sqref="M67"/>
    </sheetView>
  </sheetViews>
  <sheetFormatPr defaultRowHeight="14.4" x14ac:dyDescent="0.3"/>
  <cols>
    <col min="1" max="1" width="2" bestFit="1" customWidth="1"/>
    <col min="2" max="2" width="7.6640625" customWidth="1"/>
    <col min="3" max="4" width="7" bestFit="1" customWidth="1"/>
    <col min="5" max="5" width="7.6640625" bestFit="1" customWidth="1"/>
    <col min="6" max="6" width="6" bestFit="1" customWidth="1"/>
    <col min="7" max="7" width="8.5546875" bestFit="1" customWidth="1"/>
    <col min="8" max="8" width="8" bestFit="1" customWidth="1"/>
    <col min="9" max="9" width="12.77734375" bestFit="1" customWidth="1"/>
  </cols>
  <sheetData>
    <row r="1" spans="1:17" ht="23.4" x14ac:dyDescent="0.45">
      <c r="J1" s="31" t="s">
        <v>79</v>
      </c>
    </row>
    <row r="2" spans="1:17" x14ac:dyDescent="0.3">
      <c r="B2" t="s">
        <v>74</v>
      </c>
    </row>
    <row r="3" spans="1:17" x14ac:dyDescent="0.3">
      <c r="B3" t="s">
        <v>19</v>
      </c>
      <c r="C3" t="s">
        <v>1</v>
      </c>
      <c r="D3" t="s">
        <v>2</v>
      </c>
      <c r="E3" t="s">
        <v>20</v>
      </c>
      <c r="F3" t="s">
        <v>21</v>
      </c>
      <c r="G3" t="s">
        <v>9</v>
      </c>
      <c r="H3" t="s">
        <v>10</v>
      </c>
      <c r="K3" t="s">
        <v>75</v>
      </c>
    </row>
    <row r="4" spans="1:17" x14ac:dyDescent="0.3">
      <c r="A4">
        <v>0</v>
      </c>
      <c r="B4">
        <v>3</v>
      </c>
      <c r="C4">
        <v>0</v>
      </c>
      <c r="D4">
        <v>7200</v>
      </c>
      <c r="E4">
        <v>7200</v>
      </c>
      <c r="F4">
        <v>7200</v>
      </c>
      <c r="G4">
        <v>0</v>
      </c>
      <c r="H4">
        <v>0</v>
      </c>
      <c r="K4" t="s">
        <v>19</v>
      </c>
      <c r="L4" t="s">
        <v>1</v>
      </c>
      <c r="M4" t="s">
        <v>2</v>
      </c>
      <c r="N4" t="s">
        <v>20</v>
      </c>
      <c r="O4" t="s">
        <v>21</v>
      </c>
      <c r="P4" t="s">
        <v>9</v>
      </c>
      <c r="Q4" t="s">
        <v>10</v>
      </c>
    </row>
    <row r="5" spans="1:17" x14ac:dyDescent="0.3">
      <c r="A5">
        <v>1</v>
      </c>
      <c r="B5">
        <v>3</v>
      </c>
      <c r="C5">
        <v>7200</v>
      </c>
      <c r="D5">
        <v>19800</v>
      </c>
      <c r="E5">
        <v>12600</v>
      </c>
      <c r="F5">
        <v>12600</v>
      </c>
      <c r="G5">
        <v>0.1</v>
      </c>
      <c r="H5">
        <v>1260</v>
      </c>
      <c r="J5">
        <v>0</v>
      </c>
      <c r="K5">
        <v>3</v>
      </c>
      <c r="L5">
        <v>0</v>
      </c>
      <c r="M5">
        <v>24000</v>
      </c>
      <c r="N5">
        <v>24000</v>
      </c>
      <c r="O5">
        <v>24000</v>
      </c>
      <c r="P5">
        <v>0</v>
      </c>
      <c r="Q5">
        <v>0</v>
      </c>
    </row>
    <row r="6" spans="1:17" x14ac:dyDescent="0.3">
      <c r="A6">
        <v>2</v>
      </c>
      <c r="B6">
        <v>3</v>
      </c>
      <c r="C6">
        <v>19800</v>
      </c>
      <c r="D6">
        <v>38400</v>
      </c>
      <c r="E6">
        <v>18600</v>
      </c>
      <c r="F6">
        <v>18600</v>
      </c>
      <c r="G6">
        <v>0.15</v>
      </c>
      <c r="H6">
        <v>2790</v>
      </c>
      <c r="J6">
        <v>1</v>
      </c>
      <c r="K6">
        <v>3</v>
      </c>
      <c r="L6" s="30">
        <v>24000</v>
      </c>
      <c r="M6">
        <v>48000</v>
      </c>
      <c r="N6">
        <v>21000</v>
      </c>
      <c r="O6">
        <v>21000</v>
      </c>
      <c r="P6">
        <v>0.15</v>
      </c>
      <c r="Q6">
        <v>3150</v>
      </c>
    </row>
    <row r="7" spans="1:17" x14ac:dyDescent="0.3">
      <c r="A7">
        <v>3</v>
      </c>
      <c r="B7">
        <v>3</v>
      </c>
      <c r="C7">
        <v>38400</v>
      </c>
      <c r="D7">
        <v>63000</v>
      </c>
      <c r="E7">
        <v>6600</v>
      </c>
      <c r="F7">
        <v>6600</v>
      </c>
      <c r="G7">
        <v>0.2</v>
      </c>
      <c r="H7">
        <v>1320</v>
      </c>
      <c r="J7">
        <v>2</v>
      </c>
      <c r="K7">
        <v>3</v>
      </c>
      <c r="L7" s="30">
        <v>48000</v>
      </c>
      <c r="M7">
        <v>84000</v>
      </c>
      <c r="N7">
        <v>-3000</v>
      </c>
      <c r="O7">
        <v>0</v>
      </c>
      <c r="P7">
        <v>0.2</v>
      </c>
      <c r="Q7">
        <v>0</v>
      </c>
    </row>
    <row r="8" spans="1:17" x14ac:dyDescent="0.3">
      <c r="A8">
        <v>4</v>
      </c>
      <c r="B8">
        <v>3</v>
      </c>
      <c r="C8">
        <v>63000</v>
      </c>
      <c r="D8">
        <v>93600</v>
      </c>
      <c r="E8">
        <v>-18000</v>
      </c>
      <c r="F8">
        <v>0</v>
      </c>
      <c r="G8">
        <v>0.25</v>
      </c>
      <c r="H8">
        <v>0</v>
      </c>
      <c r="J8">
        <v>3</v>
      </c>
      <c r="K8">
        <v>3</v>
      </c>
      <c r="L8" s="30">
        <v>84000</v>
      </c>
      <c r="M8">
        <v>120000</v>
      </c>
      <c r="N8">
        <v>-39000</v>
      </c>
      <c r="O8">
        <v>0</v>
      </c>
      <c r="P8">
        <v>0.25</v>
      </c>
      <c r="Q8">
        <v>0</v>
      </c>
    </row>
    <row r="9" spans="1:17" x14ac:dyDescent="0.3">
      <c r="A9">
        <v>5</v>
      </c>
      <c r="B9">
        <v>3</v>
      </c>
      <c r="C9">
        <v>93600</v>
      </c>
      <c r="D9">
        <v>130800</v>
      </c>
      <c r="E9">
        <v>-48600</v>
      </c>
      <c r="F9">
        <v>0</v>
      </c>
      <c r="G9">
        <v>0.3</v>
      </c>
      <c r="H9">
        <v>0</v>
      </c>
      <c r="J9">
        <v>4</v>
      </c>
      <c r="K9">
        <v>3</v>
      </c>
      <c r="L9" s="30">
        <v>120000</v>
      </c>
      <c r="M9">
        <v>168000</v>
      </c>
      <c r="N9">
        <v>-75000</v>
      </c>
      <c r="O9">
        <v>0</v>
      </c>
      <c r="P9">
        <v>0.3</v>
      </c>
      <c r="Q9">
        <v>0</v>
      </c>
    </row>
    <row r="10" spans="1:17" x14ac:dyDescent="0.3">
      <c r="A10">
        <v>6</v>
      </c>
      <c r="B10">
        <v>3</v>
      </c>
      <c r="C10">
        <v>130800</v>
      </c>
      <c r="D10">
        <v>130800</v>
      </c>
      <c r="E10">
        <v>-85800</v>
      </c>
      <c r="F10">
        <v>0</v>
      </c>
      <c r="G10">
        <v>0.35</v>
      </c>
      <c r="H10">
        <v>0</v>
      </c>
      <c r="J10">
        <v>5</v>
      </c>
      <c r="K10">
        <v>3</v>
      </c>
      <c r="L10" s="30">
        <v>168000</v>
      </c>
      <c r="M10">
        <v>168000</v>
      </c>
      <c r="N10">
        <v>-123000</v>
      </c>
      <c r="O10">
        <v>0</v>
      </c>
      <c r="P10">
        <v>0.35</v>
      </c>
      <c r="Q10">
        <v>0</v>
      </c>
    </row>
    <row r="11" spans="1:17" x14ac:dyDescent="0.3">
      <c r="F11">
        <f>SUM(F4:F10)</f>
        <v>45000</v>
      </c>
      <c r="H11">
        <f>SUM(H4:H10)</f>
        <v>5370</v>
      </c>
      <c r="O11">
        <f>SUM(O5:O10)</f>
        <v>45000</v>
      </c>
      <c r="Q11">
        <f>SUM(Q5:Q10)</f>
        <v>3150</v>
      </c>
    </row>
    <row r="13" spans="1:17" x14ac:dyDescent="0.3">
      <c r="K13" t="s">
        <v>75</v>
      </c>
    </row>
    <row r="14" spans="1:17" x14ac:dyDescent="0.3">
      <c r="K14" t="s">
        <v>19</v>
      </c>
      <c r="L14" t="s">
        <v>1</v>
      </c>
      <c r="M14" t="s">
        <v>2</v>
      </c>
      <c r="N14" t="s">
        <v>20</v>
      </c>
      <c r="O14" t="s">
        <v>21</v>
      </c>
      <c r="P14" t="s">
        <v>9</v>
      </c>
      <c r="Q14" t="s">
        <v>10</v>
      </c>
    </row>
    <row r="15" spans="1:17" x14ac:dyDescent="0.3">
      <c r="J15">
        <v>0</v>
      </c>
      <c r="K15">
        <v>3</v>
      </c>
      <c r="L15">
        <v>0</v>
      </c>
      <c r="M15">
        <v>24000</v>
      </c>
      <c r="N15">
        <v>24000</v>
      </c>
      <c r="O15">
        <v>24000</v>
      </c>
      <c r="P15">
        <v>0</v>
      </c>
      <c r="Q15">
        <v>0</v>
      </c>
    </row>
    <row r="16" spans="1:17" x14ac:dyDescent="0.3">
      <c r="J16">
        <v>1</v>
      </c>
      <c r="K16">
        <v>3</v>
      </c>
      <c r="L16" s="29">
        <v>24001</v>
      </c>
      <c r="M16">
        <v>48000</v>
      </c>
      <c r="N16">
        <v>20999</v>
      </c>
      <c r="O16">
        <v>20999</v>
      </c>
      <c r="P16">
        <v>0.15</v>
      </c>
      <c r="Q16">
        <v>3149.85</v>
      </c>
    </row>
    <row r="17" spans="1:18" x14ac:dyDescent="0.3">
      <c r="J17">
        <v>2</v>
      </c>
      <c r="K17">
        <v>3</v>
      </c>
      <c r="L17" s="29">
        <v>48001</v>
      </c>
      <c r="M17">
        <v>84000</v>
      </c>
      <c r="N17">
        <v>-3001</v>
      </c>
      <c r="O17">
        <v>0</v>
      </c>
      <c r="P17">
        <v>0.2</v>
      </c>
      <c r="Q17">
        <v>0</v>
      </c>
    </row>
    <row r="18" spans="1:18" x14ac:dyDescent="0.3">
      <c r="J18">
        <v>3</v>
      </c>
      <c r="K18">
        <v>3</v>
      </c>
      <c r="L18" s="29">
        <v>84001</v>
      </c>
      <c r="M18">
        <v>120000</v>
      </c>
      <c r="N18">
        <v>-39001</v>
      </c>
      <c r="O18">
        <v>0</v>
      </c>
      <c r="P18">
        <v>0.25</v>
      </c>
      <c r="Q18">
        <v>0</v>
      </c>
    </row>
    <row r="19" spans="1:18" x14ac:dyDescent="0.3">
      <c r="J19">
        <v>4</v>
      </c>
      <c r="K19">
        <v>3</v>
      </c>
      <c r="L19" s="29">
        <v>120001</v>
      </c>
      <c r="M19">
        <v>168000</v>
      </c>
      <c r="N19">
        <v>-75001</v>
      </c>
      <c r="O19">
        <v>0</v>
      </c>
      <c r="P19">
        <v>0.3</v>
      </c>
      <c r="Q19">
        <v>0</v>
      </c>
    </row>
    <row r="20" spans="1:18" x14ac:dyDescent="0.3">
      <c r="J20">
        <v>5</v>
      </c>
      <c r="K20">
        <v>3</v>
      </c>
      <c r="L20" s="29">
        <v>168001</v>
      </c>
      <c r="M20">
        <v>168001</v>
      </c>
      <c r="N20">
        <v>-123001</v>
      </c>
      <c r="O20">
        <v>0</v>
      </c>
      <c r="P20">
        <v>0.35</v>
      </c>
      <c r="Q20">
        <v>0</v>
      </c>
    </row>
    <row r="21" spans="1:18" x14ac:dyDescent="0.3">
      <c r="O21">
        <f>SUM(O15:O20)</f>
        <v>44999</v>
      </c>
      <c r="Q21">
        <f>SUM(Q15:Q20)</f>
        <v>3149.85</v>
      </c>
    </row>
    <row r="22" spans="1:18" x14ac:dyDescent="0.3">
      <c r="R22" s="29" t="s">
        <v>76</v>
      </c>
    </row>
    <row r="25" spans="1:18" ht="15.6" x14ac:dyDescent="0.3">
      <c r="B25" s="23" t="s">
        <v>80</v>
      </c>
    </row>
    <row r="26" spans="1:18" x14ac:dyDescent="0.3">
      <c r="B26" t="s">
        <v>19</v>
      </c>
      <c r="C26" t="s">
        <v>1</v>
      </c>
      <c r="D26" t="s">
        <v>2</v>
      </c>
      <c r="E26" t="s">
        <v>20</v>
      </c>
      <c r="F26" t="s">
        <v>21</v>
      </c>
      <c r="G26" t="s">
        <v>9</v>
      </c>
      <c r="H26" t="s">
        <v>10</v>
      </c>
      <c r="K26" t="s">
        <v>19</v>
      </c>
      <c r="L26" t="s">
        <v>1</v>
      </c>
      <c r="M26" t="s">
        <v>2</v>
      </c>
      <c r="N26" t="s">
        <v>20</v>
      </c>
      <c r="O26" t="s">
        <v>21</v>
      </c>
      <c r="P26" t="s">
        <v>9</v>
      </c>
      <c r="Q26" t="s">
        <v>10</v>
      </c>
    </row>
    <row r="27" spans="1:18" x14ac:dyDescent="0.3">
      <c r="A27">
        <v>0</v>
      </c>
      <c r="B27">
        <v>1</v>
      </c>
      <c r="C27">
        <v>0</v>
      </c>
      <c r="D27">
        <v>600</v>
      </c>
      <c r="E27">
        <v>600</v>
      </c>
      <c r="F27">
        <v>600</v>
      </c>
      <c r="G27">
        <v>0</v>
      </c>
      <c r="H27">
        <v>0</v>
      </c>
      <c r="J27">
        <v>0</v>
      </c>
      <c r="K27">
        <v>1</v>
      </c>
      <c r="L27">
        <v>0</v>
      </c>
      <c r="M27">
        <v>2000</v>
      </c>
      <c r="N27">
        <v>2000</v>
      </c>
      <c r="O27">
        <v>2000</v>
      </c>
      <c r="P27">
        <v>0</v>
      </c>
      <c r="Q27">
        <v>0</v>
      </c>
    </row>
    <row r="28" spans="1:18" x14ac:dyDescent="0.3">
      <c r="A28">
        <v>1</v>
      </c>
      <c r="B28">
        <v>1</v>
      </c>
      <c r="C28">
        <v>600</v>
      </c>
      <c r="D28">
        <v>1650</v>
      </c>
      <c r="E28">
        <v>1050</v>
      </c>
      <c r="F28">
        <v>1050</v>
      </c>
      <c r="G28">
        <v>0.1</v>
      </c>
      <c r="H28">
        <v>105</v>
      </c>
      <c r="J28">
        <v>1</v>
      </c>
      <c r="K28">
        <v>1</v>
      </c>
      <c r="L28">
        <v>2000</v>
      </c>
      <c r="M28">
        <v>4000</v>
      </c>
      <c r="N28">
        <v>2000</v>
      </c>
      <c r="O28">
        <v>2000</v>
      </c>
      <c r="P28">
        <v>0.15</v>
      </c>
      <c r="Q28">
        <v>300</v>
      </c>
    </row>
    <row r="29" spans="1:18" x14ac:dyDescent="0.3">
      <c r="A29">
        <v>2</v>
      </c>
      <c r="B29">
        <v>1</v>
      </c>
      <c r="C29">
        <v>1650</v>
      </c>
      <c r="D29">
        <v>3200</v>
      </c>
      <c r="E29">
        <v>1550</v>
      </c>
      <c r="F29">
        <v>1550</v>
      </c>
      <c r="G29">
        <v>0.15</v>
      </c>
      <c r="H29">
        <v>232.5</v>
      </c>
      <c r="J29">
        <v>2</v>
      </c>
      <c r="K29">
        <v>1</v>
      </c>
      <c r="L29">
        <v>4000</v>
      </c>
      <c r="M29">
        <v>7000</v>
      </c>
      <c r="N29">
        <v>3000</v>
      </c>
      <c r="O29">
        <v>3000</v>
      </c>
      <c r="P29">
        <v>0.2</v>
      </c>
      <c r="Q29">
        <v>600</v>
      </c>
    </row>
    <row r="30" spans="1:18" x14ac:dyDescent="0.3">
      <c r="A30">
        <v>3</v>
      </c>
      <c r="B30">
        <v>1</v>
      </c>
      <c r="C30">
        <v>3200</v>
      </c>
      <c r="D30">
        <v>5250</v>
      </c>
      <c r="E30">
        <v>2050</v>
      </c>
      <c r="F30">
        <v>2050</v>
      </c>
      <c r="G30">
        <v>0.2</v>
      </c>
      <c r="H30">
        <v>410</v>
      </c>
      <c r="J30">
        <v>3</v>
      </c>
      <c r="K30">
        <v>1</v>
      </c>
      <c r="L30">
        <v>7000</v>
      </c>
      <c r="M30">
        <v>10000</v>
      </c>
      <c r="N30">
        <v>3000</v>
      </c>
      <c r="O30">
        <v>3000</v>
      </c>
      <c r="P30">
        <v>0.25</v>
      </c>
      <c r="Q30">
        <v>750</v>
      </c>
    </row>
    <row r="31" spans="1:18" x14ac:dyDescent="0.3">
      <c r="A31">
        <v>4</v>
      </c>
      <c r="B31">
        <v>1</v>
      </c>
      <c r="C31">
        <v>5250</v>
      </c>
      <c r="D31">
        <v>7800</v>
      </c>
      <c r="E31">
        <v>2550</v>
      </c>
      <c r="F31">
        <v>2550</v>
      </c>
      <c r="G31">
        <v>0.25</v>
      </c>
      <c r="H31">
        <v>637.5</v>
      </c>
      <c r="J31">
        <v>4</v>
      </c>
      <c r="K31">
        <v>1</v>
      </c>
      <c r="L31">
        <v>10000</v>
      </c>
      <c r="M31">
        <v>14000</v>
      </c>
      <c r="N31">
        <v>4000</v>
      </c>
      <c r="O31">
        <v>4000</v>
      </c>
      <c r="P31">
        <v>0.3</v>
      </c>
      <c r="Q31">
        <v>1200</v>
      </c>
    </row>
    <row r="32" spans="1:18" x14ac:dyDescent="0.3">
      <c r="A32">
        <v>5</v>
      </c>
      <c r="B32">
        <v>1</v>
      </c>
      <c r="C32">
        <v>7800</v>
      </c>
      <c r="D32">
        <v>10900</v>
      </c>
      <c r="E32">
        <v>3100</v>
      </c>
      <c r="F32">
        <v>3100</v>
      </c>
      <c r="G32">
        <v>0.3</v>
      </c>
      <c r="H32">
        <v>930</v>
      </c>
      <c r="J32">
        <v>5</v>
      </c>
      <c r="K32">
        <v>1</v>
      </c>
      <c r="L32">
        <v>14000</v>
      </c>
      <c r="M32">
        <v>45000</v>
      </c>
      <c r="N32">
        <v>31000</v>
      </c>
      <c r="O32">
        <v>31000</v>
      </c>
      <c r="P32">
        <v>0.35</v>
      </c>
      <c r="Q32">
        <v>10850</v>
      </c>
    </row>
    <row r="33" spans="1:17" x14ac:dyDescent="0.3">
      <c r="A33">
        <v>6</v>
      </c>
      <c r="B33">
        <v>1</v>
      </c>
      <c r="C33">
        <v>10900</v>
      </c>
      <c r="D33">
        <v>45000</v>
      </c>
      <c r="E33">
        <v>34100</v>
      </c>
      <c r="F33">
        <v>34100</v>
      </c>
      <c r="G33">
        <v>0.35</v>
      </c>
      <c r="H33">
        <v>11935</v>
      </c>
      <c r="O33">
        <f>SUM(O27:O32)</f>
        <v>45000</v>
      </c>
      <c r="Q33" s="30">
        <f>SUM(Q27:Q32)</f>
        <v>13700</v>
      </c>
    </row>
    <row r="34" spans="1:17" x14ac:dyDescent="0.3">
      <c r="F34">
        <f>SUM(F27:F33)</f>
        <v>45000</v>
      </c>
      <c r="H34" s="30">
        <f>SUM(H27:H33)</f>
        <v>14250</v>
      </c>
    </row>
    <row r="38" spans="1:17" ht="15.6" x14ac:dyDescent="0.3">
      <c r="B38" s="23" t="s">
        <v>77</v>
      </c>
    </row>
    <row r="39" spans="1:17" ht="15.6" x14ac:dyDescent="0.3">
      <c r="B39" t="s">
        <v>19</v>
      </c>
      <c r="C39" t="s">
        <v>1</v>
      </c>
      <c r="D39" t="s">
        <v>2</v>
      </c>
      <c r="E39" t="s">
        <v>20</v>
      </c>
      <c r="F39" t="s">
        <v>21</v>
      </c>
      <c r="G39" t="s">
        <v>9</v>
      </c>
      <c r="H39" t="s">
        <v>10</v>
      </c>
      <c r="K39" s="23" t="s">
        <v>78</v>
      </c>
    </row>
    <row r="40" spans="1:17" x14ac:dyDescent="0.3">
      <c r="A40">
        <v>0</v>
      </c>
      <c r="B40">
        <v>2</v>
      </c>
      <c r="C40">
        <v>0</v>
      </c>
      <c r="D40">
        <v>7200</v>
      </c>
      <c r="E40">
        <v>7200</v>
      </c>
      <c r="F40">
        <v>7200</v>
      </c>
      <c r="G40">
        <v>0</v>
      </c>
      <c r="H40">
        <v>0</v>
      </c>
      <c r="K40" t="s">
        <v>19</v>
      </c>
      <c r="L40" t="s">
        <v>1</v>
      </c>
      <c r="M40" t="s">
        <v>2</v>
      </c>
      <c r="N40" t="s">
        <v>20</v>
      </c>
      <c r="O40" t="s">
        <v>21</v>
      </c>
      <c r="P40" t="s">
        <v>9</v>
      </c>
      <c r="Q40" t="s">
        <v>10</v>
      </c>
    </row>
    <row r="41" spans="1:17" x14ac:dyDescent="0.3">
      <c r="A41">
        <v>1</v>
      </c>
      <c r="B41">
        <v>2</v>
      </c>
      <c r="C41">
        <v>7200</v>
      </c>
      <c r="D41">
        <v>19800</v>
      </c>
      <c r="E41">
        <v>12600</v>
      </c>
      <c r="F41">
        <v>12600</v>
      </c>
      <c r="G41">
        <v>0.1</v>
      </c>
      <c r="H41">
        <v>1260</v>
      </c>
      <c r="J41">
        <v>0</v>
      </c>
      <c r="K41">
        <v>2</v>
      </c>
      <c r="L41">
        <v>0</v>
      </c>
      <c r="M41">
        <v>24000</v>
      </c>
      <c r="N41">
        <v>24000</v>
      </c>
      <c r="O41">
        <v>24000</v>
      </c>
      <c r="P41">
        <v>0</v>
      </c>
      <c r="Q41">
        <v>0</v>
      </c>
    </row>
    <row r="42" spans="1:17" x14ac:dyDescent="0.3">
      <c r="A42">
        <v>2</v>
      </c>
      <c r="B42">
        <v>2</v>
      </c>
      <c r="C42">
        <v>19800</v>
      </c>
      <c r="D42">
        <v>38400</v>
      </c>
      <c r="E42">
        <v>18600</v>
      </c>
      <c r="F42">
        <v>18600</v>
      </c>
      <c r="G42">
        <v>0.15</v>
      </c>
      <c r="H42">
        <v>2790</v>
      </c>
      <c r="J42">
        <v>1</v>
      </c>
      <c r="K42">
        <v>2</v>
      </c>
      <c r="L42">
        <v>24000</v>
      </c>
      <c r="M42">
        <v>48000</v>
      </c>
      <c r="N42">
        <v>21000</v>
      </c>
      <c r="O42">
        <v>21000</v>
      </c>
      <c r="P42">
        <v>0.15</v>
      </c>
      <c r="Q42">
        <v>3150</v>
      </c>
    </row>
    <row r="43" spans="1:17" x14ac:dyDescent="0.3">
      <c r="A43">
        <v>3</v>
      </c>
      <c r="B43">
        <v>2</v>
      </c>
      <c r="C43">
        <v>38400</v>
      </c>
      <c r="D43">
        <v>63000</v>
      </c>
      <c r="E43">
        <v>6600</v>
      </c>
      <c r="F43">
        <v>6600</v>
      </c>
      <c r="G43">
        <v>0.2</v>
      </c>
      <c r="H43">
        <v>1320</v>
      </c>
      <c r="J43">
        <v>2</v>
      </c>
      <c r="K43">
        <v>2</v>
      </c>
      <c r="L43">
        <v>48000</v>
      </c>
      <c r="M43">
        <v>84000</v>
      </c>
      <c r="N43">
        <v>-3000</v>
      </c>
      <c r="O43">
        <v>0</v>
      </c>
      <c r="P43">
        <v>0.2</v>
      </c>
      <c r="Q43">
        <v>0</v>
      </c>
    </row>
    <row r="44" spans="1:17" x14ac:dyDescent="0.3">
      <c r="A44">
        <v>4</v>
      </c>
      <c r="B44">
        <v>2</v>
      </c>
      <c r="C44">
        <v>63000</v>
      </c>
      <c r="D44">
        <v>93600</v>
      </c>
      <c r="E44">
        <v>-18000</v>
      </c>
      <c r="F44">
        <v>0</v>
      </c>
      <c r="G44">
        <v>0.25</v>
      </c>
      <c r="H44">
        <v>0</v>
      </c>
      <c r="J44">
        <v>3</v>
      </c>
      <c r="K44">
        <v>2</v>
      </c>
      <c r="L44">
        <v>84000</v>
      </c>
      <c r="M44">
        <v>120000</v>
      </c>
      <c r="N44">
        <v>-39000</v>
      </c>
      <c r="O44">
        <v>0</v>
      </c>
      <c r="P44">
        <v>0.25</v>
      </c>
      <c r="Q44">
        <v>0</v>
      </c>
    </row>
    <row r="45" spans="1:17" x14ac:dyDescent="0.3">
      <c r="A45">
        <v>5</v>
      </c>
      <c r="B45">
        <v>2</v>
      </c>
      <c r="C45">
        <v>93600</v>
      </c>
      <c r="D45">
        <v>130800</v>
      </c>
      <c r="E45">
        <v>-48600</v>
      </c>
      <c r="F45">
        <v>0</v>
      </c>
      <c r="G45">
        <v>0.3</v>
      </c>
      <c r="H45">
        <v>0</v>
      </c>
      <c r="J45">
        <v>4</v>
      </c>
      <c r="K45">
        <v>2</v>
      </c>
      <c r="L45">
        <v>120000</v>
      </c>
      <c r="M45">
        <v>168000</v>
      </c>
      <c r="N45">
        <v>-75000</v>
      </c>
      <c r="O45">
        <v>0</v>
      </c>
      <c r="P45">
        <v>0.3</v>
      </c>
      <c r="Q45">
        <v>0</v>
      </c>
    </row>
    <row r="46" spans="1:17" x14ac:dyDescent="0.3">
      <c r="A46">
        <v>6</v>
      </c>
      <c r="B46">
        <v>2</v>
      </c>
      <c r="C46">
        <v>130800</v>
      </c>
      <c r="D46">
        <v>130800</v>
      </c>
      <c r="E46">
        <v>-85800</v>
      </c>
      <c r="F46">
        <v>0</v>
      </c>
      <c r="G46">
        <v>0.35</v>
      </c>
      <c r="H46">
        <v>0</v>
      </c>
      <c r="J46">
        <v>5</v>
      </c>
      <c r="K46">
        <v>2</v>
      </c>
      <c r="L46">
        <v>168000</v>
      </c>
      <c r="M46">
        <v>168000</v>
      </c>
      <c r="N46">
        <v>-123000</v>
      </c>
      <c r="O46">
        <v>0</v>
      </c>
      <c r="P46">
        <v>0.35</v>
      </c>
      <c r="Q46">
        <v>0</v>
      </c>
    </row>
    <row r="47" spans="1:17" x14ac:dyDescent="0.3">
      <c r="F47">
        <f>SUM(F40:F46)</f>
        <v>45000</v>
      </c>
      <c r="H47" s="30">
        <f>SUM(H40:H46)</f>
        <v>5370</v>
      </c>
      <c r="O47">
        <f>SUM(O41:O46)</f>
        <v>45000</v>
      </c>
      <c r="Q47" s="30">
        <f>SUM(Q41:Q46)</f>
        <v>3150</v>
      </c>
    </row>
    <row r="49" spans="1:17" ht="15.6" x14ac:dyDescent="0.3">
      <c r="K49" s="23" t="s">
        <v>88</v>
      </c>
    </row>
    <row r="50" spans="1:17" x14ac:dyDescent="0.3">
      <c r="K50" t="s">
        <v>19</v>
      </c>
      <c r="L50" t="s">
        <v>1</v>
      </c>
      <c r="M50" t="s">
        <v>2</v>
      </c>
      <c r="N50" t="s">
        <v>20</v>
      </c>
      <c r="O50" t="s">
        <v>21</v>
      </c>
      <c r="P50" t="s">
        <v>9</v>
      </c>
      <c r="Q50" t="s">
        <v>10</v>
      </c>
    </row>
    <row r="51" spans="1:17" x14ac:dyDescent="0.3">
      <c r="J51">
        <v>0</v>
      </c>
      <c r="K51">
        <v>7</v>
      </c>
      <c r="L51" t="s">
        <v>87</v>
      </c>
      <c r="M51" t="s">
        <v>87</v>
      </c>
      <c r="N51" t="s">
        <v>87</v>
      </c>
      <c r="O51">
        <v>45000</v>
      </c>
      <c r="P51">
        <v>0.15</v>
      </c>
      <c r="Q51">
        <v>6750</v>
      </c>
    </row>
    <row r="53" spans="1:17" ht="15.6" x14ac:dyDescent="0.3">
      <c r="K53" s="23" t="s">
        <v>89</v>
      </c>
    </row>
    <row r="54" spans="1:17" x14ac:dyDescent="0.3">
      <c r="K54" t="s">
        <v>19</v>
      </c>
      <c r="L54" t="s">
        <v>1</v>
      </c>
      <c r="M54" t="s">
        <v>2</v>
      </c>
      <c r="N54" t="s">
        <v>20</v>
      </c>
      <c r="O54" t="s">
        <v>21</v>
      </c>
      <c r="P54" t="s">
        <v>9</v>
      </c>
      <c r="Q54" t="s">
        <v>10</v>
      </c>
    </row>
    <row r="55" spans="1:17" x14ac:dyDescent="0.3">
      <c r="J55">
        <v>0</v>
      </c>
      <c r="K55">
        <v>8</v>
      </c>
      <c r="L55" t="s">
        <v>87</v>
      </c>
      <c r="M55" t="s">
        <v>87</v>
      </c>
      <c r="N55" t="s">
        <v>87</v>
      </c>
      <c r="O55">
        <v>45000</v>
      </c>
      <c r="P55">
        <v>0.15</v>
      </c>
      <c r="Q55">
        <v>6750</v>
      </c>
    </row>
    <row r="57" spans="1:17" ht="15.6" x14ac:dyDescent="0.3">
      <c r="B57" s="23" t="s">
        <v>81</v>
      </c>
      <c r="K57" s="23" t="s">
        <v>90</v>
      </c>
    </row>
    <row r="58" spans="1:17" x14ac:dyDescent="0.3">
      <c r="B58" t="s">
        <v>19</v>
      </c>
      <c r="C58" t="s">
        <v>1</v>
      </c>
      <c r="D58" t="s">
        <v>2</v>
      </c>
      <c r="E58" t="s">
        <v>20</v>
      </c>
      <c r="F58" t="s">
        <v>21</v>
      </c>
      <c r="G58" t="s">
        <v>9</v>
      </c>
      <c r="H58" t="s">
        <v>10</v>
      </c>
      <c r="K58" t="s">
        <v>19</v>
      </c>
      <c r="L58" t="s">
        <v>1</v>
      </c>
      <c r="M58" t="s">
        <v>2</v>
      </c>
      <c r="N58" t="s">
        <v>20</v>
      </c>
      <c r="O58" t="s">
        <v>21</v>
      </c>
      <c r="P58" t="s">
        <v>9</v>
      </c>
      <c r="Q58" t="s">
        <v>10</v>
      </c>
    </row>
    <row r="59" spans="1:17" x14ac:dyDescent="0.3">
      <c r="A59">
        <v>0</v>
      </c>
      <c r="B59">
        <v>5</v>
      </c>
      <c r="C59">
        <v>0</v>
      </c>
      <c r="D59">
        <v>0</v>
      </c>
      <c r="E59">
        <v>0</v>
      </c>
      <c r="F59">
        <v>45000</v>
      </c>
      <c r="G59">
        <v>0.1</v>
      </c>
      <c r="H59" s="30">
        <v>4500</v>
      </c>
      <c r="J59">
        <v>0</v>
      </c>
      <c r="K59">
        <v>4</v>
      </c>
      <c r="L59" t="s">
        <v>87</v>
      </c>
      <c r="M59" t="s">
        <v>87</v>
      </c>
      <c r="N59" t="s">
        <v>87</v>
      </c>
      <c r="O59">
        <v>45000</v>
      </c>
      <c r="P59">
        <v>0.15</v>
      </c>
      <c r="Q59">
        <v>6750</v>
      </c>
    </row>
    <row r="61" spans="1:17" ht="15.6" x14ac:dyDescent="0.3">
      <c r="B61" s="23" t="s">
        <v>82</v>
      </c>
      <c r="K61" s="23" t="s">
        <v>91</v>
      </c>
    </row>
    <row r="62" spans="1:17" x14ac:dyDescent="0.3">
      <c r="B62" t="s">
        <v>19</v>
      </c>
      <c r="C62" t="s">
        <v>1</v>
      </c>
      <c r="D62" t="s">
        <v>2</v>
      </c>
      <c r="E62" t="s">
        <v>20</v>
      </c>
      <c r="F62" t="s">
        <v>21</v>
      </c>
      <c r="G62" t="s">
        <v>9</v>
      </c>
      <c r="H62" t="s">
        <v>10</v>
      </c>
      <c r="K62" t="s">
        <v>19</v>
      </c>
      <c r="L62" t="s">
        <v>1</v>
      </c>
      <c r="M62" t="s">
        <v>2</v>
      </c>
      <c r="N62" t="s">
        <v>20</v>
      </c>
      <c r="O62" t="s">
        <v>21</v>
      </c>
      <c r="P62" t="s">
        <v>9</v>
      </c>
      <c r="Q62" t="s">
        <v>10</v>
      </c>
    </row>
    <row r="63" spans="1:17" x14ac:dyDescent="0.3">
      <c r="A63">
        <v>0</v>
      </c>
      <c r="B63">
        <v>8</v>
      </c>
      <c r="C63">
        <v>0</v>
      </c>
      <c r="D63">
        <v>0</v>
      </c>
      <c r="E63">
        <v>0</v>
      </c>
      <c r="F63">
        <v>45000</v>
      </c>
      <c r="G63">
        <v>0.15</v>
      </c>
      <c r="H63">
        <v>6750</v>
      </c>
      <c r="J63">
        <v>0</v>
      </c>
      <c r="K63">
        <v>6</v>
      </c>
      <c r="L63" t="s">
        <v>87</v>
      </c>
      <c r="M63" t="s">
        <v>87</v>
      </c>
      <c r="N63" t="s">
        <v>87</v>
      </c>
      <c r="O63">
        <v>45000</v>
      </c>
      <c r="P63">
        <v>0.2</v>
      </c>
      <c r="Q63">
        <v>9000</v>
      </c>
    </row>
    <row r="65" spans="1:17" ht="15.6" x14ac:dyDescent="0.3">
      <c r="B65" s="23" t="s">
        <v>83</v>
      </c>
    </row>
    <row r="66" spans="1:17" x14ac:dyDescent="0.3">
      <c r="B66" t="s">
        <v>19</v>
      </c>
      <c r="C66" t="s">
        <v>1</v>
      </c>
      <c r="D66" t="s">
        <v>2</v>
      </c>
      <c r="E66" t="s">
        <v>20</v>
      </c>
      <c r="F66" t="s">
        <v>21</v>
      </c>
      <c r="G66" t="s">
        <v>9</v>
      </c>
      <c r="H66" t="s">
        <v>10</v>
      </c>
      <c r="K66" t="s">
        <v>94</v>
      </c>
    </row>
    <row r="67" spans="1:17" x14ac:dyDescent="0.3">
      <c r="A67">
        <v>0</v>
      </c>
      <c r="B67">
        <v>7</v>
      </c>
      <c r="C67">
        <v>0</v>
      </c>
      <c r="D67">
        <v>0</v>
      </c>
      <c r="E67">
        <v>0</v>
      </c>
      <c r="F67">
        <v>45000</v>
      </c>
      <c r="G67">
        <v>0.05</v>
      </c>
      <c r="H67">
        <v>2250</v>
      </c>
    </row>
    <row r="69" spans="1:17" ht="15.6" x14ac:dyDescent="0.3">
      <c r="B69" s="23" t="s">
        <v>84</v>
      </c>
    </row>
    <row r="70" spans="1:17" x14ac:dyDescent="0.3">
      <c r="B70" t="s">
        <v>19</v>
      </c>
      <c r="C70" t="s">
        <v>1</v>
      </c>
      <c r="D70" t="s">
        <v>2</v>
      </c>
      <c r="E70" t="s">
        <v>20</v>
      </c>
      <c r="F70" t="s">
        <v>21</v>
      </c>
      <c r="G70" t="s">
        <v>9</v>
      </c>
      <c r="H70" t="s">
        <v>10</v>
      </c>
      <c r="K70" t="s">
        <v>94</v>
      </c>
    </row>
    <row r="71" spans="1:17" x14ac:dyDescent="0.3">
      <c r="A71">
        <v>0</v>
      </c>
      <c r="B71">
        <v>6</v>
      </c>
      <c r="C71">
        <v>0</v>
      </c>
      <c r="D71">
        <v>0</v>
      </c>
      <c r="E71">
        <v>0</v>
      </c>
      <c r="F71">
        <v>45000</v>
      </c>
      <c r="G71">
        <v>0.15</v>
      </c>
      <c r="H71">
        <v>6750</v>
      </c>
    </row>
    <row r="73" spans="1:17" ht="15.6" x14ac:dyDescent="0.3">
      <c r="B73" s="23" t="s">
        <v>85</v>
      </c>
      <c r="K73" s="23" t="s">
        <v>92</v>
      </c>
    </row>
    <row r="74" spans="1:17" x14ac:dyDescent="0.3">
      <c r="B74" t="s">
        <v>19</v>
      </c>
      <c r="C74" t="s">
        <v>1</v>
      </c>
      <c r="D74" t="s">
        <v>2</v>
      </c>
      <c r="E74" t="s">
        <v>20</v>
      </c>
      <c r="F74" t="s">
        <v>21</v>
      </c>
      <c r="G74" t="s">
        <v>9</v>
      </c>
      <c r="H74" t="s">
        <v>10</v>
      </c>
      <c r="K74" t="s">
        <v>19</v>
      </c>
      <c r="L74" t="s">
        <v>1</v>
      </c>
      <c r="M74" t="s">
        <v>2</v>
      </c>
      <c r="N74" t="s">
        <v>20</v>
      </c>
      <c r="O74" t="s">
        <v>21</v>
      </c>
      <c r="P74" t="s">
        <v>9</v>
      </c>
      <c r="Q74" t="s">
        <v>10</v>
      </c>
    </row>
    <row r="75" spans="1:17" x14ac:dyDescent="0.3">
      <c r="A75">
        <v>0</v>
      </c>
      <c r="B75">
        <v>9</v>
      </c>
      <c r="C75">
        <v>0</v>
      </c>
      <c r="D75">
        <v>0</v>
      </c>
      <c r="E75">
        <v>0</v>
      </c>
      <c r="F75">
        <v>45000</v>
      </c>
      <c r="G75">
        <v>0.05</v>
      </c>
      <c r="H75">
        <v>2250</v>
      </c>
      <c r="J75">
        <v>0</v>
      </c>
      <c r="K75">
        <v>5</v>
      </c>
      <c r="L75" t="s">
        <v>87</v>
      </c>
      <c r="M75" t="s">
        <v>87</v>
      </c>
      <c r="N75" t="s">
        <v>87</v>
      </c>
      <c r="O75">
        <v>45000</v>
      </c>
      <c r="P75">
        <v>0.1</v>
      </c>
      <c r="Q75">
        <v>4500</v>
      </c>
    </row>
    <row r="77" spans="1:17" ht="15.6" x14ac:dyDescent="0.3">
      <c r="B77" s="23" t="s">
        <v>86</v>
      </c>
    </row>
    <row r="78" spans="1:17" x14ac:dyDescent="0.3">
      <c r="B78" t="s">
        <v>19</v>
      </c>
      <c r="C78" t="s">
        <v>1</v>
      </c>
      <c r="D78" t="s">
        <v>2</v>
      </c>
      <c r="E78" t="s">
        <v>20</v>
      </c>
      <c r="F78" t="s">
        <v>21</v>
      </c>
      <c r="G78" t="s">
        <v>9</v>
      </c>
      <c r="H78" t="s">
        <v>10</v>
      </c>
      <c r="K78" t="s">
        <v>94</v>
      </c>
    </row>
    <row r="79" spans="1:17" x14ac:dyDescent="0.3">
      <c r="A79">
        <v>0</v>
      </c>
      <c r="B79">
        <v>4</v>
      </c>
      <c r="C79">
        <v>0</v>
      </c>
      <c r="D79">
        <v>0</v>
      </c>
      <c r="E79">
        <v>0</v>
      </c>
      <c r="F79">
        <v>45000</v>
      </c>
      <c r="G79">
        <v>0.1</v>
      </c>
      <c r="H79">
        <v>4500</v>
      </c>
    </row>
    <row r="81" spans="10:17" ht="15.6" x14ac:dyDescent="0.3">
      <c r="K81" s="23" t="s">
        <v>93</v>
      </c>
    </row>
    <row r="82" spans="10:17" x14ac:dyDescent="0.3">
      <c r="K82" t="s">
        <v>19</v>
      </c>
      <c r="L82" t="s">
        <v>1</v>
      </c>
      <c r="M82" t="s">
        <v>2</v>
      </c>
      <c r="N82" t="s">
        <v>20</v>
      </c>
      <c r="O82" t="s">
        <v>21</v>
      </c>
      <c r="P82" t="s">
        <v>9</v>
      </c>
      <c r="Q82" t="s">
        <v>10</v>
      </c>
    </row>
    <row r="83" spans="10:17" x14ac:dyDescent="0.3">
      <c r="J83">
        <v>0</v>
      </c>
      <c r="K83">
        <v>2</v>
      </c>
      <c r="L83">
        <v>0</v>
      </c>
      <c r="M83">
        <v>24000</v>
      </c>
      <c r="N83">
        <v>24000</v>
      </c>
      <c r="O83">
        <v>24000</v>
      </c>
      <c r="P83">
        <v>0</v>
      </c>
      <c r="Q83">
        <v>0</v>
      </c>
    </row>
    <row r="84" spans="10:17" x14ac:dyDescent="0.3">
      <c r="J84">
        <v>1</v>
      </c>
      <c r="K84">
        <v>2</v>
      </c>
      <c r="L84">
        <v>24000</v>
      </c>
      <c r="M84">
        <v>48000</v>
      </c>
      <c r="N84">
        <v>21000</v>
      </c>
      <c r="O84">
        <v>21000</v>
      </c>
      <c r="P84">
        <v>0.15</v>
      </c>
      <c r="Q84">
        <v>3150</v>
      </c>
    </row>
    <row r="85" spans="10:17" x14ac:dyDescent="0.3">
      <c r="J85">
        <v>2</v>
      </c>
      <c r="K85">
        <v>2</v>
      </c>
      <c r="L85">
        <v>48000</v>
      </c>
      <c r="M85">
        <v>84000</v>
      </c>
      <c r="N85">
        <v>-3000</v>
      </c>
      <c r="O85">
        <v>0</v>
      </c>
      <c r="P85">
        <v>0.2</v>
      </c>
      <c r="Q85">
        <v>0</v>
      </c>
    </row>
    <row r="86" spans="10:17" x14ac:dyDescent="0.3">
      <c r="J86">
        <v>3</v>
      </c>
      <c r="K86">
        <v>2</v>
      </c>
      <c r="L86">
        <v>84000</v>
      </c>
      <c r="M86">
        <v>120000</v>
      </c>
      <c r="N86">
        <v>-39000</v>
      </c>
      <c r="O86">
        <v>0</v>
      </c>
      <c r="P86">
        <v>0.25</v>
      </c>
      <c r="Q86">
        <v>0</v>
      </c>
    </row>
    <row r="87" spans="10:17" x14ac:dyDescent="0.3">
      <c r="J87">
        <v>4</v>
      </c>
      <c r="K87">
        <v>2</v>
      </c>
      <c r="L87">
        <v>120000</v>
      </c>
      <c r="M87">
        <v>168000</v>
      </c>
      <c r="N87">
        <v>-75000</v>
      </c>
      <c r="O87">
        <v>0</v>
      </c>
      <c r="P87">
        <v>0.3</v>
      </c>
      <c r="Q87">
        <v>0</v>
      </c>
    </row>
    <row r="88" spans="10:17" x14ac:dyDescent="0.3">
      <c r="J88">
        <v>5</v>
      </c>
      <c r="K88">
        <v>2</v>
      </c>
      <c r="L88">
        <v>168000</v>
      </c>
      <c r="M88">
        <v>168000</v>
      </c>
      <c r="N88">
        <v>-123000</v>
      </c>
      <c r="O88">
        <v>0</v>
      </c>
      <c r="P88">
        <v>0.35</v>
      </c>
      <c r="Q8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Mihret Bizuneh</dc:creator>
  <cp:lastModifiedBy>Mihret Bizuneh</cp:lastModifiedBy>
  <dcterms:created xsi:type="dcterms:W3CDTF">2025-09-12T07:31:53Z</dcterms:created>
  <dcterms:modified xsi:type="dcterms:W3CDTF">2025-11-08T09:40:03Z</dcterms:modified>
</cp:coreProperties>
</file>