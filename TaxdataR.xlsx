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GitDok\zleleoch\memokeria\"/>
    </mc:Choice>
  </mc:AlternateContent>
  <xr:revisionPtr revIDLastSave="0" documentId="13_ncr:1_{6F836830-EEE2-4E13-968D-1FDE74E4049D}" xr6:coauthVersionLast="47" xr6:coauthVersionMax="47" xr10:uidLastSave="{00000000-0000-0000-0000-000000000000}"/>
  <bookViews>
    <workbookView xWindow="-108" yWindow="-108" windowWidth="23256" windowHeight="13896" xr2:uid="{DC07380E-59BE-4E39-9C80-EE8A13ED6F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1" l="1"/>
  <c r="D55" i="1"/>
  <c r="D54" i="1"/>
  <c r="D53" i="1"/>
  <c r="D46" i="1"/>
  <c r="D45" i="1"/>
  <c r="D44" i="1"/>
  <c r="D43" i="1"/>
  <c r="D42" i="1"/>
  <c r="D40" i="1"/>
  <c r="D39" i="1"/>
  <c r="D38" i="1"/>
  <c r="D37" i="1"/>
  <c r="D36" i="1"/>
  <c r="D34" i="1"/>
  <c r="D33" i="1"/>
  <c r="D32" i="1"/>
  <c r="D31" i="1"/>
  <c r="D30" i="1"/>
  <c r="E22" i="1"/>
  <c r="E15" i="1"/>
  <c r="E8" i="1"/>
</calcChain>
</file>

<file path=xl/sharedStrings.xml><?xml version="1.0" encoding="utf-8"?>
<sst xmlns="http://schemas.openxmlformats.org/spreadsheetml/2006/main" count="199" uniqueCount="72">
  <si>
    <t>Category</t>
  </si>
  <si>
    <t>catnum</t>
  </si>
  <si>
    <t>range</t>
  </si>
  <si>
    <t>min</t>
  </si>
  <si>
    <t>max</t>
  </si>
  <si>
    <t>Deduction</t>
  </si>
  <si>
    <t>taxpercnt</t>
  </si>
  <si>
    <t>Revision</t>
  </si>
  <si>
    <t>Income from employment</t>
  </si>
  <si>
    <t>0-600</t>
  </si>
  <si>
    <t>Before2025Revision-ከ2017 ማሻማሻያ በፊት</t>
  </si>
  <si>
    <t>601-1650</t>
  </si>
  <si>
    <t>1651-3200</t>
  </si>
  <si>
    <t>3201-5250</t>
  </si>
  <si>
    <t>5251-7800</t>
  </si>
  <si>
    <t>7801-10900</t>
  </si>
  <si>
    <r>
      <rPr>
        <sz val="14"/>
        <color rgb="FFFF0000"/>
        <rFont val="Aptos Narrow"/>
        <family val="2"/>
        <scheme val="minor"/>
      </rPr>
      <t>Exceeding</t>
    </r>
    <r>
      <rPr>
        <sz val="14"/>
        <color theme="1"/>
        <rFont val="Aptos Narrow"/>
        <family val="2"/>
        <scheme val="minor"/>
      </rPr>
      <t xml:space="preserve"> 10900</t>
    </r>
  </si>
  <si>
    <t>Income from rental of buildings</t>
  </si>
  <si>
    <t>0–to 7 200</t>
  </si>
  <si>
    <t xml:space="preserve"> 7 201–19 800  </t>
  </si>
  <si>
    <t>19 801–38 400</t>
  </si>
  <si>
    <t>38 401–63 000</t>
  </si>
  <si>
    <t>63 001–93 600</t>
  </si>
  <si>
    <t>93 601–130 800</t>
  </si>
  <si>
    <r>
      <rPr>
        <sz val="14"/>
        <color rgb="FFFF0000"/>
        <rFont val="Aptos Narrow"/>
        <family val="2"/>
        <scheme val="minor"/>
      </rPr>
      <t>Exceeding</t>
    </r>
    <r>
      <rPr>
        <sz val="14"/>
        <color theme="1"/>
        <rFont val="Aptos Narrow"/>
        <family val="2"/>
        <scheme val="minor"/>
      </rPr>
      <t xml:space="preserve"> 130 800</t>
    </r>
  </si>
  <si>
    <t>Income from Business</t>
  </si>
  <si>
    <t>Income from Technical Services</t>
  </si>
  <si>
    <t>Any</t>
  </si>
  <si>
    <t>Income from Dividends</t>
  </si>
  <si>
    <t>Income from Rental of Property</t>
  </si>
  <si>
    <t>Income from Interest  on Deposits</t>
  </si>
  <si>
    <t>Income from Games of Chance</t>
  </si>
  <si>
    <t>Income from Royalties</t>
  </si>
  <si>
    <t>Employment Income (Monthly)</t>
  </si>
  <si>
    <t>Up to 2,000</t>
  </si>
  <si>
    <t>After2025Revision-በ2017 የተሻሻለ</t>
  </si>
  <si>
    <t>2,001 to 4,000</t>
  </si>
  <si>
    <t>4,001 to 7,000</t>
  </si>
  <si>
    <t>7,001 to 10,000</t>
  </si>
  <si>
    <t>10,001 to 14,000</t>
  </si>
  <si>
    <r>
      <rPr>
        <sz val="11"/>
        <color rgb="FFFF0000"/>
        <rFont val="Aptos Narrow"/>
        <family val="2"/>
        <scheme val="minor"/>
      </rPr>
      <t>Exceeding</t>
    </r>
    <r>
      <rPr>
        <sz val="11"/>
        <color theme="1"/>
        <rFont val="Aptos Narrow"/>
        <family val="2"/>
        <scheme val="minor"/>
      </rPr>
      <t xml:space="preserve"> 14,000</t>
    </r>
  </si>
  <si>
    <t>Rental Income (Annual)</t>
  </si>
  <si>
    <t>Up to 24,000</t>
  </si>
  <si>
    <t>24,001 to 48,000</t>
  </si>
  <si>
    <t>48,001 to 84,000</t>
  </si>
  <si>
    <t>84,001 to 120,000</t>
  </si>
  <si>
    <t>120,001 to 168,000</t>
  </si>
  <si>
    <r>
      <rPr>
        <sz val="11"/>
        <color rgb="FFFF0000"/>
        <rFont val="Aptos Narrow"/>
        <family val="2"/>
        <scheme val="minor"/>
      </rPr>
      <t>Exceeding</t>
    </r>
    <r>
      <rPr>
        <sz val="11"/>
        <color theme="1"/>
        <rFont val="Aptos Narrow"/>
        <family val="2"/>
        <scheme val="minor"/>
      </rPr>
      <t xml:space="preserve"> 168,000</t>
    </r>
  </si>
  <si>
    <t>Business Income (Annual)</t>
  </si>
  <si>
    <t>Dividends</t>
  </si>
  <si>
    <t>Royalties</t>
  </si>
  <si>
    <t>Games of Chance</t>
  </si>
  <si>
    <t>Capital Gains (Immovable Property – Class A)</t>
  </si>
  <si>
    <t>Capital Gains (Shares/Bonds – Class B)</t>
  </si>
  <si>
    <t>Category B - Tax on annual gross sales</t>
  </si>
  <si>
    <t>0 – 100,000</t>
  </si>
  <si>
    <t>100.001 – 500.000</t>
  </si>
  <si>
    <t>500,001 – 1,000,000</t>
  </si>
  <si>
    <t>1,000,001 – 1,500,000</t>
  </si>
  <si>
    <t>1,500,001 – 2,000,000</t>
  </si>
  <si>
    <t>Income From Digital Content Creation</t>
  </si>
  <si>
    <t>Royalties Related to Art and Culture</t>
  </si>
  <si>
    <t>Entertainer Performance Taking Place in Ethiopia</t>
  </si>
  <si>
    <t>Management or Technical Services Fee</t>
  </si>
  <si>
    <t>Insurance Premium</t>
  </si>
  <si>
    <t>Interest on Deposits</t>
  </si>
  <si>
    <t>Offshore Indirect Transfers (Gains From Ethiopia)</t>
  </si>
  <si>
    <t>usable</t>
  </si>
  <si>
    <t>scrut</t>
  </si>
  <si>
    <t>actual</t>
  </si>
  <si>
    <t>Tax_amt</t>
  </si>
  <si>
    <t>Final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</si>
</sst>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2"/>
      <color theme="1"/>
      <name val="Aptos"/>
      <family val="2"/>
    </font>
    <font>
      <sz val="12"/>
      <color rgb="FFFF0000"/>
      <name val="Aptos"/>
      <family val="2"/>
    </font>
    <font>
      <sz val="11"/>
      <color rgb="FFFF0000"/>
      <name val="Aptos Narrow"/>
      <family val="2"/>
    </font>
    <font>
      <b/>
      <sz val="2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/>
    <xf numFmtId="0" fontId="3" fillId="0" borderId="0" xfId="0" applyFont="1"/>
    <xf numFmtId="0" fontId="3" fillId="0" borderId="3" xfId="0" applyFont="1" applyBorder="1"/>
    <xf numFmtId="9" fontId="3" fillId="0" borderId="4" xfId="0" applyNumberFormat="1" applyFont="1" applyBorder="1"/>
    <xf numFmtId="0" fontId="3" fillId="0" borderId="0" xfId="0" applyFont="1" applyAlignment="1">
      <alignment wrapText="1"/>
    </xf>
    <xf numFmtId="9" fontId="3" fillId="0" borderId="0" xfId="0" applyNumberFormat="1" applyFont="1" applyAlignment="1">
      <alignment wrapText="1"/>
    </xf>
    <xf numFmtId="9" fontId="3" fillId="0" borderId="0" xfId="0" applyNumberFormat="1" applyFont="1"/>
    <xf numFmtId="0" fontId="5" fillId="0" borderId="0" xfId="0" applyFont="1" applyAlignment="1">
      <alignment vertical="center"/>
    </xf>
    <xf numFmtId="0" fontId="0" fillId="0" borderId="5" xfId="0" applyBorder="1"/>
    <xf numFmtId="0" fontId="5" fillId="0" borderId="0" xfId="0" applyFont="1"/>
    <xf numFmtId="0" fontId="0" fillId="0" borderId="1" xfId="0" applyBorder="1"/>
    <xf numFmtId="9" fontId="3" fillId="0" borderId="1" xfId="0" applyNumberFormat="1" applyFont="1" applyBorder="1"/>
    <xf numFmtId="0" fontId="3" fillId="0" borderId="2" xfId="0" applyFont="1" applyBorder="1"/>
    <xf numFmtId="0" fontId="6" fillId="0" borderId="6" xfId="0" applyFont="1" applyBorder="1" applyAlignment="1">
      <alignment vertical="center" wrapText="1"/>
    </xf>
    <xf numFmtId="9" fontId="6" fillId="0" borderId="7" xfId="0" applyNumberFormat="1" applyFont="1" applyBorder="1" applyAlignment="1">
      <alignment vertical="center" wrapText="1"/>
    </xf>
    <xf numFmtId="9" fontId="0" fillId="0" borderId="0" xfId="0" applyNumberFormat="1"/>
    <xf numFmtId="0" fontId="3" fillId="0" borderId="5" xfId="0" applyFont="1" applyBorder="1"/>
    <xf numFmtId="0" fontId="7" fillId="0" borderId="0" xfId="0" applyFont="1" applyAlignment="1">
      <alignment vertical="center"/>
    </xf>
    <xf numFmtId="0" fontId="3" fillId="0" borderId="8" xfId="0" applyFont="1" applyBorder="1"/>
    <xf numFmtId="9" fontId="6" fillId="0" borderId="0" xfId="0" applyNumberFormat="1" applyFont="1" applyAlignment="1">
      <alignment vertical="center" wrapText="1"/>
    </xf>
    <xf numFmtId="0" fontId="2" fillId="0" borderId="0" xfId="0" applyFont="1"/>
    <xf numFmtId="0" fontId="2" fillId="0" borderId="1" xfId="0" applyFont="1" applyBorder="1"/>
    <xf numFmtId="0" fontId="8" fillId="0" borderId="0" xfId="0" applyFont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5280-CC12-4E9C-8F72-C385EF5217EC}">
  <dimension ref="A1:M63"/>
  <sheetViews>
    <sheetView tabSelected="1" workbookViewId="0"/>
  </sheetViews>
  <sheetFormatPr defaultRowHeight="14.4" x14ac:dyDescent="0.3"/>
  <cols>
    <col min="1" max="1" width="40.5546875" bestFit="1" customWidth="1"/>
    <col min="2" max="2" width="14.44140625" bestFit="1" customWidth="1"/>
    <col min="3" max="3" width="20.44140625" bestFit="1" customWidth="1"/>
    <col min="4" max="5" width="9" bestFit="1" customWidth="1"/>
    <col min="6" max="6" width="19.21875" bestFit="1" customWidth="1"/>
    <col min="7" max="9" width="19.21875" customWidth="1"/>
    <col min="10" max="10" width="17.88671875" bestFit="1" customWidth="1"/>
    <col min="11" max="12" width="17.88671875" customWidth="1"/>
    <col min="13" max="13" width="35.88671875" bestFit="1" customWidth="1"/>
  </cols>
  <sheetData>
    <row r="1" spans="1:13" ht="28.8" x14ac:dyDescent="0.55000000000000004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2" t="s">
        <v>67</v>
      </c>
      <c r="H1" s="22" t="s">
        <v>68</v>
      </c>
      <c r="I1" s="22" t="s">
        <v>69</v>
      </c>
      <c r="J1" s="21" t="s">
        <v>6</v>
      </c>
      <c r="K1" s="21" t="s">
        <v>70</v>
      </c>
      <c r="L1" s="23" t="s">
        <v>71</v>
      </c>
      <c r="M1" s="24" t="s">
        <v>7</v>
      </c>
    </row>
    <row r="2" spans="1:13" ht="18" x14ac:dyDescent="0.35">
      <c r="A2" s="1" t="s">
        <v>8</v>
      </c>
      <c r="B2" s="1">
        <v>1</v>
      </c>
      <c r="C2" s="1" t="s">
        <v>9</v>
      </c>
      <c r="D2" s="2">
        <v>0</v>
      </c>
      <c r="E2" s="2">
        <v>600</v>
      </c>
      <c r="F2" s="3">
        <v>0</v>
      </c>
      <c r="G2" s="19">
        <v>0</v>
      </c>
      <c r="H2" s="19">
        <v>0</v>
      </c>
      <c r="I2" s="19">
        <v>0</v>
      </c>
      <c r="J2" s="4">
        <v>0</v>
      </c>
      <c r="K2" s="7"/>
      <c r="L2" s="7"/>
      <c r="M2" t="s">
        <v>10</v>
      </c>
    </row>
    <row r="3" spans="1:13" ht="18" x14ac:dyDescent="0.35">
      <c r="A3" s="1" t="s">
        <v>8</v>
      </c>
      <c r="B3" s="1">
        <v>1</v>
      </c>
      <c r="C3" s="1" t="s">
        <v>11</v>
      </c>
      <c r="D3" s="2">
        <v>600</v>
      </c>
      <c r="E3" s="2">
        <v>1650</v>
      </c>
      <c r="F3" s="3">
        <v>60</v>
      </c>
      <c r="G3" s="19">
        <v>0</v>
      </c>
      <c r="H3" s="19">
        <v>0</v>
      </c>
      <c r="I3" s="19">
        <v>0</v>
      </c>
      <c r="J3" s="4">
        <v>0.1</v>
      </c>
      <c r="K3" s="7"/>
      <c r="L3" s="7"/>
      <c r="M3" t="s">
        <v>10</v>
      </c>
    </row>
    <row r="4" spans="1:13" ht="18" x14ac:dyDescent="0.35">
      <c r="A4" s="1" t="s">
        <v>8</v>
      </c>
      <c r="B4" s="1">
        <v>1</v>
      </c>
      <c r="C4" s="1" t="s">
        <v>12</v>
      </c>
      <c r="D4" s="2">
        <v>1650</v>
      </c>
      <c r="E4" s="2">
        <v>3200</v>
      </c>
      <c r="F4" s="3">
        <v>142.5</v>
      </c>
      <c r="G4" s="19">
        <v>0</v>
      </c>
      <c r="H4" s="19">
        <v>0</v>
      </c>
      <c r="I4" s="19">
        <v>0</v>
      </c>
      <c r="J4" s="4">
        <v>0.15</v>
      </c>
      <c r="K4" s="7"/>
      <c r="L4" s="7"/>
      <c r="M4" t="s">
        <v>10</v>
      </c>
    </row>
    <row r="5" spans="1:13" ht="18" x14ac:dyDescent="0.35">
      <c r="A5" s="1" t="s">
        <v>8</v>
      </c>
      <c r="B5" s="1">
        <v>1</v>
      </c>
      <c r="C5" s="1" t="s">
        <v>13</v>
      </c>
      <c r="D5" s="2">
        <v>3200</v>
      </c>
      <c r="E5" s="2">
        <v>5250</v>
      </c>
      <c r="F5" s="3">
        <v>302.5</v>
      </c>
      <c r="G5" s="19">
        <v>0</v>
      </c>
      <c r="H5" s="19">
        <v>0</v>
      </c>
      <c r="I5" s="19">
        <v>0</v>
      </c>
      <c r="J5" s="4">
        <v>0.2</v>
      </c>
      <c r="K5" s="7"/>
      <c r="L5" s="7"/>
      <c r="M5" t="s">
        <v>10</v>
      </c>
    </row>
    <row r="6" spans="1:13" ht="18" x14ac:dyDescent="0.35">
      <c r="A6" s="1" t="s">
        <v>8</v>
      </c>
      <c r="B6" s="1">
        <v>1</v>
      </c>
      <c r="C6" s="1" t="s">
        <v>14</v>
      </c>
      <c r="D6" s="2">
        <v>5250</v>
      </c>
      <c r="E6" s="2">
        <v>7800</v>
      </c>
      <c r="F6" s="3">
        <v>565</v>
      </c>
      <c r="G6" s="19">
        <v>0</v>
      </c>
      <c r="H6" s="19">
        <v>0</v>
      </c>
      <c r="I6" s="19">
        <v>0</v>
      </c>
      <c r="J6" s="4">
        <v>0.25</v>
      </c>
      <c r="K6" s="7"/>
      <c r="L6" s="7"/>
      <c r="M6" t="s">
        <v>10</v>
      </c>
    </row>
    <row r="7" spans="1:13" ht="18" x14ac:dyDescent="0.35">
      <c r="A7" s="1" t="s">
        <v>8</v>
      </c>
      <c r="B7" s="1">
        <v>1</v>
      </c>
      <c r="C7" s="1" t="s">
        <v>15</v>
      </c>
      <c r="D7" s="2">
        <v>7800</v>
      </c>
      <c r="E7" s="2">
        <v>10900</v>
      </c>
      <c r="F7" s="3">
        <v>955</v>
      </c>
      <c r="G7" s="19">
        <v>0</v>
      </c>
      <c r="H7" s="19">
        <v>0</v>
      </c>
      <c r="I7" s="19">
        <v>0</v>
      </c>
      <c r="J7" s="4">
        <v>0.3</v>
      </c>
      <c r="K7" s="7"/>
      <c r="L7" s="7"/>
      <c r="M7" t="s">
        <v>10</v>
      </c>
    </row>
    <row r="8" spans="1:13" ht="18" x14ac:dyDescent="0.35">
      <c r="A8" s="1" t="s">
        <v>8</v>
      </c>
      <c r="B8" s="1">
        <v>1</v>
      </c>
      <c r="C8" s="1" t="s">
        <v>16</v>
      </c>
      <c r="D8" s="2">
        <v>10900</v>
      </c>
      <c r="E8" s="2">
        <f>IF(D8&lt;=$O$6,$O$6,D8)</f>
        <v>10900</v>
      </c>
      <c r="F8" s="3">
        <v>1500</v>
      </c>
      <c r="G8" s="19">
        <v>0</v>
      </c>
      <c r="H8" s="19">
        <v>0</v>
      </c>
      <c r="I8" s="19">
        <v>0</v>
      </c>
      <c r="J8" s="4">
        <v>0.35</v>
      </c>
      <c r="K8" s="7"/>
      <c r="L8" s="7"/>
      <c r="M8" t="s">
        <v>10</v>
      </c>
    </row>
    <row r="9" spans="1:13" ht="18" x14ac:dyDescent="0.35">
      <c r="A9" s="1" t="s">
        <v>17</v>
      </c>
      <c r="B9" s="2">
        <v>2</v>
      </c>
      <c r="C9" s="5" t="s">
        <v>18</v>
      </c>
      <c r="D9" s="2">
        <v>0</v>
      </c>
      <c r="E9" s="2">
        <v>7200</v>
      </c>
      <c r="F9" s="5">
        <v>0</v>
      </c>
      <c r="G9" s="19">
        <v>0</v>
      </c>
      <c r="H9" s="19">
        <v>0</v>
      </c>
      <c r="I9" s="19">
        <v>0</v>
      </c>
      <c r="J9" s="6">
        <v>0</v>
      </c>
      <c r="K9" s="6"/>
      <c r="L9" s="6"/>
      <c r="M9" t="s">
        <v>10</v>
      </c>
    </row>
    <row r="10" spans="1:13" ht="18" x14ac:dyDescent="0.35">
      <c r="A10" s="1" t="s">
        <v>17</v>
      </c>
      <c r="B10" s="2">
        <v>2</v>
      </c>
      <c r="C10" s="2" t="s">
        <v>19</v>
      </c>
      <c r="D10" s="2">
        <v>7200</v>
      </c>
      <c r="E10" s="2">
        <v>19800</v>
      </c>
      <c r="F10" s="2">
        <v>720</v>
      </c>
      <c r="G10" s="19">
        <v>0</v>
      </c>
      <c r="H10" s="19">
        <v>0</v>
      </c>
      <c r="I10" s="19">
        <v>0</v>
      </c>
      <c r="J10" s="7">
        <v>0.1</v>
      </c>
      <c r="K10" s="7"/>
      <c r="L10" s="7"/>
      <c r="M10" t="s">
        <v>10</v>
      </c>
    </row>
    <row r="11" spans="1:13" ht="18" x14ac:dyDescent="0.35">
      <c r="A11" s="1" t="s">
        <v>17</v>
      </c>
      <c r="B11" s="2">
        <v>2</v>
      </c>
      <c r="C11" s="2" t="s">
        <v>20</v>
      </c>
      <c r="D11" s="2">
        <v>19800</v>
      </c>
      <c r="E11" s="2">
        <v>38400</v>
      </c>
      <c r="F11" s="2">
        <v>1710</v>
      </c>
      <c r="G11" s="19">
        <v>0</v>
      </c>
      <c r="H11" s="19">
        <v>0</v>
      </c>
      <c r="I11" s="19">
        <v>0</v>
      </c>
      <c r="J11" s="7">
        <v>0.15</v>
      </c>
      <c r="K11" s="7"/>
      <c r="L11" s="7"/>
      <c r="M11" t="s">
        <v>10</v>
      </c>
    </row>
    <row r="12" spans="1:13" ht="18" x14ac:dyDescent="0.35">
      <c r="A12" s="1" t="s">
        <v>17</v>
      </c>
      <c r="B12" s="2">
        <v>2</v>
      </c>
      <c r="C12" s="2" t="s">
        <v>21</v>
      </c>
      <c r="D12" s="2">
        <v>38400</v>
      </c>
      <c r="E12" s="2">
        <v>63000</v>
      </c>
      <c r="F12" s="2">
        <v>3630</v>
      </c>
      <c r="G12" s="19">
        <v>0</v>
      </c>
      <c r="H12" s="19">
        <v>0</v>
      </c>
      <c r="I12" s="19">
        <v>0</v>
      </c>
      <c r="J12" s="7">
        <v>0.2</v>
      </c>
      <c r="K12" s="7"/>
      <c r="L12" s="7"/>
      <c r="M12" t="s">
        <v>10</v>
      </c>
    </row>
    <row r="13" spans="1:13" ht="18" x14ac:dyDescent="0.35">
      <c r="A13" s="1" t="s">
        <v>17</v>
      </c>
      <c r="B13" s="2">
        <v>2</v>
      </c>
      <c r="C13" s="2" t="s">
        <v>22</v>
      </c>
      <c r="D13" s="2">
        <v>63000</v>
      </c>
      <c r="E13" s="2">
        <v>93600</v>
      </c>
      <c r="F13" s="2">
        <v>6780</v>
      </c>
      <c r="G13" s="19">
        <v>0</v>
      </c>
      <c r="H13" s="19">
        <v>0</v>
      </c>
      <c r="I13" s="19">
        <v>0</v>
      </c>
      <c r="J13" s="7">
        <v>0.25</v>
      </c>
      <c r="K13" s="7"/>
      <c r="L13" s="7"/>
      <c r="M13" t="s">
        <v>10</v>
      </c>
    </row>
    <row r="14" spans="1:13" ht="18" x14ac:dyDescent="0.35">
      <c r="A14" s="1" t="s">
        <v>17</v>
      </c>
      <c r="B14" s="2">
        <v>2</v>
      </c>
      <c r="C14" s="2" t="s">
        <v>23</v>
      </c>
      <c r="D14" s="2">
        <v>93600</v>
      </c>
      <c r="E14" s="2">
        <v>130800</v>
      </c>
      <c r="F14" s="2">
        <v>11460</v>
      </c>
      <c r="G14" s="19">
        <v>0</v>
      </c>
      <c r="H14" s="19">
        <v>0</v>
      </c>
      <c r="I14" s="19">
        <v>0</v>
      </c>
      <c r="J14" s="7">
        <v>0.3</v>
      </c>
      <c r="K14" s="7"/>
      <c r="L14" s="7"/>
      <c r="M14" t="s">
        <v>10</v>
      </c>
    </row>
    <row r="15" spans="1:13" ht="18" x14ac:dyDescent="0.35">
      <c r="A15" s="1" t="s">
        <v>17</v>
      </c>
      <c r="B15" s="2">
        <v>2</v>
      </c>
      <c r="C15" s="2" t="s">
        <v>24</v>
      </c>
      <c r="D15" s="2">
        <v>130800</v>
      </c>
      <c r="E15" s="2">
        <f>IF(D15&lt;=$O$21,$O$21,D15)</f>
        <v>130800</v>
      </c>
      <c r="F15" s="2">
        <v>18000</v>
      </c>
      <c r="G15" s="19">
        <v>0</v>
      </c>
      <c r="H15" s="19">
        <v>0</v>
      </c>
      <c r="I15" s="19">
        <v>0</v>
      </c>
      <c r="J15" s="7">
        <v>0.35</v>
      </c>
      <c r="K15" s="7"/>
      <c r="L15" s="7"/>
      <c r="M15" t="s">
        <v>10</v>
      </c>
    </row>
    <row r="16" spans="1:13" ht="18" x14ac:dyDescent="0.35">
      <c r="A16" s="8" t="s">
        <v>25</v>
      </c>
      <c r="B16" s="2">
        <v>3</v>
      </c>
      <c r="C16" s="5" t="s">
        <v>18</v>
      </c>
      <c r="D16" s="2">
        <v>0</v>
      </c>
      <c r="E16" s="2">
        <v>7200</v>
      </c>
      <c r="F16" s="5">
        <v>0</v>
      </c>
      <c r="G16" s="19">
        <v>0</v>
      </c>
      <c r="H16" s="19">
        <v>0</v>
      </c>
      <c r="I16" s="19">
        <v>0</v>
      </c>
      <c r="J16" s="6">
        <v>0</v>
      </c>
      <c r="K16" s="6"/>
      <c r="L16" s="6"/>
      <c r="M16" t="s">
        <v>10</v>
      </c>
    </row>
    <row r="17" spans="1:13" ht="18" x14ac:dyDescent="0.35">
      <c r="A17" s="8" t="s">
        <v>25</v>
      </c>
      <c r="B17" s="2">
        <v>3</v>
      </c>
      <c r="C17" s="2" t="s">
        <v>19</v>
      </c>
      <c r="D17" s="2">
        <v>7200</v>
      </c>
      <c r="E17" s="2">
        <v>19800</v>
      </c>
      <c r="F17" s="2">
        <v>720</v>
      </c>
      <c r="G17" s="19">
        <v>0</v>
      </c>
      <c r="H17" s="19">
        <v>0</v>
      </c>
      <c r="I17" s="19">
        <v>0</v>
      </c>
      <c r="J17" s="7">
        <v>0.1</v>
      </c>
      <c r="K17" s="7"/>
      <c r="L17" s="7"/>
      <c r="M17" t="s">
        <v>10</v>
      </c>
    </row>
    <row r="18" spans="1:13" ht="18" x14ac:dyDescent="0.35">
      <c r="A18" s="8" t="s">
        <v>25</v>
      </c>
      <c r="B18" s="2">
        <v>3</v>
      </c>
      <c r="C18" s="2" t="s">
        <v>20</v>
      </c>
      <c r="D18" s="2">
        <v>19800</v>
      </c>
      <c r="E18" s="2">
        <v>38400</v>
      </c>
      <c r="F18" s="2">
        <v>1710</v>
      </c>
      <c r="G18" s="19">
        <v>0</v>
      </c>
      <c r="H18" s="19">
        <v>0</v>
      </c>
      <c r="I18" s="19">
        <v>0</v>
      </c>
      <c r="J18" s="7">
        <v>0.15</v>
      </c>
      <c r="K18" s="7"/>
      <c r="L18" s="7"/>
      <c r="M18" t="s">
        <v>10</v>
      </c>
    </row>
    <row r="19" spans="1:13" ht="18" x14ac:dyDescent="0.35">
      <c r="A19" s="8" t="s">
        <v>25</v>
      </c>
      <c r="B19" s="2">
        <v>3</v>
      </c>
      <c r="C19" s="2" t="s">
        <v>21</v>
      </c>
      <c r="D19" s="2">
        <v>38400</v>
      </c>
      <c r="E19" s="2">
        <v>63000</v>
      </c>
      <c r="F19" s="2">
        <v>3630</v>
      </c>
      <c r="G19" s="19">
        <v>0</v>
      </c>
      <c r="H19" s="19">
        <v>0</v>
      </c>
      <c r="I19" s="19">
        <v>0</v>
      </c>
      <c r="J19" s="7">
        <v>0.2</v>
      </c>
      <c r="K19" s="7"/>
      <c r="L19" s="7"/>
      <c r="M19" t="s">
        <v>10</v>
      </c>
    </row>
    <row r="20" spans="1:13" ht="18" x14ac:dyDescent="0.35">
      <c r="A20" s="8" t="s">
        <v>25</v>
      </c>
      <c r="B20" s="2">
        <v>3</v>
      </c>
      <c r="C20" s="2" t="s">
        <v>22</v>
      </c>
      <c r="D20" s="2">
        <v>63000</v>
      </c>
      <c r="E20" s="2">
        <v>93600</v>
      </c>
      <c r="F20" s="2">
        <v>6780</v>
      </c>
      <c r="G20" s="19">
        <v>0</v>
      </c>
      <c r="H20" s="19">
        <v>0</v>
      </c>
      <c r="I20" s="19">
        <v>0</v>
      </c>
      <c r="J20" s="7">
        <v>0.25</v>
      </c>
      <c r="K20" s="7"/>
      <c r="L20" s="7"/>
      <c r="M20" t="s">
        <v>10</v>
      </c>
    </row>
    <row r="21" spans="1:13" ht="18" x14ac:dyDescent="0.35">
      <c r="A21" s="8" t="s">
        <v>25</v>
      </c>
      <c r="B21" s="2">
        <v>3</v>
      </c>
      <c r="C21" s="2" t="s">
        <v>23</v>
      </c>
      <c r="D21" s="2">
        <v>93600</v>
      </c>
      <c r="E21" s="2">
        <v>130800</v>
      </c>
      <c r="F21" s="2">
        <v>11460</v>
      </c>
      <c r="G21" s="19">
        <v>0</v>
      </c>
      <c r="H21" s="19">
        <v>0</v>
      </c>
      <c r="I21" s="19">
        <v>0</v>
      </c>
      <c r="J21" s="7">
        <v>0.3</v>
      </c>
      <c r="K21" s="7"/>
      <c r="L21" s="7"/>
      <c r="M21" t="s">
        <v>10</v>
      </c>
    </row>
    <row r="22" spans="1:13" ht="18" x14ac:dyDescent="0.35">
      <c r="A22" s="8" t="s">
        <v>25</v>
      </c>
      <c r="B22" s="2">
        <v>3</v>
      </c>
      <c r="C22" s="2" t="s">
        <v>24</v>
      </c>
      <c r="D22" s="2">
        <v>130800</v>
      </c>
      <c r="E22" s="2">
        <f>IF(D22&lt;=$O$36,$O$36,D22)</f>
        <v>130800</v>
      </c>
      <c r="F22" s="2">
        <v>18000</v>
      </c>
      <c r="G22" s="19">
        <v>0</v>
      </c>
      <c r="H22" s="19">
        <v>0</v>
      </c>
      <c r="I22" s="19">
        <v>0</v>
      </c>
      <c r="J22" s="7">
        <v>0.35</v>
      </c>
      <c r="K22" s="7"/>
      <c r="L22" s="7"/>
      <c r="M22" t="s">
        <v>10</v>
      </c>
    </row>
    <row r="23" spans="1:13" ht="18" x14ac:dyDescent="0.35">
      <c r="A23" s="1" t="s">
        <v>26</v>
      </c>
      <c r="B23" s="2">
        <v>4</v>
      </c>
      <c r="C23" s="2" t="s">
        <v>27</v>
      </c>
      <c r="D23">
        <v>0</v>
      </c>
      <c r="E23" s="2">
        <v>60000</v>
      </c>
      <c r="F23" s="9">
        <v>0</v>
      </c>
      <c r="G23" s="19">
        <v>0</v>
      </c>
      <c r="H23" s="19">
        <v>0</v>
      </c>
      <c r="I23" s="19">
        <v>0</v>
      </c>
      <c r="J23" s="6">
        <v>0.1</v>
      </c>
      <c r="K23" s="6"/>
      <c r="L23" s="6"/>
      <c r="M23" t="s">
        <v>10</v>
      </c>
    </row>
    <row r="24" spans="1:13" ht="18" x14ac:dyDescent="0.35">
      <c r="A24" s="1" t="s">
        <v>28</v>
      </c>
      <c r="B24" s="2">
        <v>5</v>
      </c>
      <c r="C24" s="2" t="s">
        <v>27</v>
      </c>
      <c r="D24">
        <v>0</v>
      </c>
      <c r="E24" s="2">
        <v>60000</v>
      </c>
      <c r="F24" s="9">
        <v>0</v>
      </c>
      <c r="G24" s="19">
        <v>0</v>
      </c>
      <c r="H24" s="19">
        <v>0</v>
      </c>
      <c r="I24" s="19">
        <v>0</v>
      </c>
      <c r="J24" s="6">
        <v>0.1</v>
      </c>
      <c r="K24" s="6"/>
      <c r="L24" s="6"/>
      <c r="M24" t="s">
        <v>10</v>
      </c>
    </row>
    <row r="25" spans="1:13" ht="18" x14ac:dyDescent="0.35">
      <c r="A25" s="1" t="s">
        <v>29</v>
      </c>
      <c r="B25" s="2">
        <v>6</v>
      </c>
      <c r="C25" s="2" t="s">
        <v>27</v>
      </c>
      <c r="D25">
        <v>0</v>
      </c>
      <c r="E25" s="2">
        <v>60000</v>
      </c>
      <c r="F25" s="9">
        <v>0</v>
      </c>
      <c r="G25" s="19">
        <v>0</v>
      </c>
      <c r="H25" s="19">
        <v>0</v>
      </c>
      <c r="I25" s="19">
        <v>0</v>
      </c>
      <c r="J25" s="6">
        <v>0.15</v>
      </c>
      <c r="K25" s="6"/>
      <c r="L25" s="6"/>
      <c r="M25" t="s">
        <v>10</v>
      </c>
    </row>
    <row r="26" spans="1:13" ht="18" x14ac:dyDescent="0.35">
      <c r="A26" s="1" t="s">
        <v>30</v>
      </c>
      <c r="B26" s="2">
        <v>7</v>
      </c>
      <c r="C26" s="2" t="s">
        <v>27</v>
      </c>
      <c r="D26">
        <v>0</v>
      </c>
      <c r="E26" s="2">
        <v>60000</v>
      </c>
      <c r="F26" s="9">
        <v>0</v>
      </c>
      <c r="G26" s="19">
        <v>0</v>
      </c>
      <c r="H26" s="19">
        <v>0</v>
      </c>
      <c r="I26" s="19">
        <v>0</v>
      </c>
      <c r="J26" s="6">
        <v>0.05</v>
      </c>
      <c r="K26" s="6"/>
      <c r="L26" s="6"/>
      <c r="M26" t="s">
        <v>10</v>
      </c>
    </row>
    <row r="27" spans="1:13" ht="18" x14ac:dyDescent="0.35">
      <c r="A27" s="1" t="s">
        <v>31</v>
      </c>
      <c r="B27" s="2">
        <v>8</v>
      </c>
      <c r="C27" s="2" t="s">
        <v>27</v>
      </c>
      <c r="D27">
        <v>0</v>
      </c>
      <c r="E27" s="2">
        <v>60000</v>
      </c>
      <c r="F27" s="9">
        <v>0</v>
      </c>
      <c r="G27" s="19">
        <v>0</v>
      </c>
      <c r="H27" s="19">
        <v>0</v>
      </c>
      <c r="I27" s="19">
        <v>0</v>
      </c>
      <c r="J27" s="6">
        <v>0.15</v>
      </c>
      <c r="K27" s="6"/>
      <c r="L27" s="6"/>
      <c r="M27" t="s">
        <v>10</v>
      </c>
    </row>
    <row r="28" spans="1:13" ht="18" x14ac:dyDescent="0.35">
      <c r="A28" s="10" t="s">
        <v>32</v>
      </c>
      <c r="B28" s="2">
        <v>9</v>
      </c>
      <c r="C28" s="2" t="s">
        <v>27</v>
      </c>
      <c r="D28">
        <v>0</v>
      </c>
      <c r="E28" s="2">
        <v>60000</v>
      </c>
      <c r="F28" s="9">
        <v>0</v>
      </c>
      <c r="G28" s="19">
        <v>0</v>
      </c>
      <c r="H28" s="19">
        <v>0</v>
      </c>
      <c r="I28" s="19">
        <v>0</v>
      </c>
      <c r="J28" s="6">
        <v>0.05</v>
      </c>
      <c r="K28" s="6"/>
      <c r="L28" s="6"/>
      <c r="M28" t="s">
        <v>10</v>
      </c>
    </row>
    <row r="29" spans="1:13" ht="18" x14ac:dyDescent="0.35">
      <c r="A29" s="11" t="s">
        <v>33</v>
      </c>
      <c r="B29" s="1">
        <v>1</v>
      </c>
      <c r="C29" s="11" t="s">
        <v>34</v>
      </c>
      <c r="D29" s="11">
        <v>0</v>
      </c>
      <c r="E29" s="11">
        <v>2000</v>
      </c>
      <c r="F29" s="11">
        <v>0</v>
      </c>
      <c r="G29" s="19">
        <v>0</v>
      </c>
      <c r="H29" s="19">
        <v>0</v>
      </c>
      <c r="I29" s="19">
        <v>0</v>
      </c>
      <c r="J29" s="12">
        <v>0</v>
      </c>
      <c r="K29" s="7"/>
      <c r="L29" s="7"/>
      <c r="M29" t="s">
        <v>35</v>
      </c>
    </row>
    <row r="30" spans="1:13" ht="18" x14ac:dyDescent="0.35">
      <c r="A30" s="11" t="s">
        <v>33</v>
      </c>
      <c r="B30" s="1">
        <v>1</v>
      </c>
      <c r="C30" s="11" t="s">
        <v>36</v>
      </c>
      <c r="D30" s="11">
        <f>E29</f>
        <v>2000</v>
      </c>
      <c r="E30" s="11">
        <v>4000</v>
      </c>
      <c r="F30" s="11">
        <v>300</v>
      </c>
      <c r="G30" s="19">
        <v>0</v>
      </c>
      <c r="H30" s="19">
        <v>0</v>
      </c>
      <c r="I30" s="19">
        <v>0</v>
      </c>
      <c r="J30" s="12">
        <v>0.15</v>
      </c>
      <c r="K30" s="7"/>
      <c r="L30" s="7"/>
      <c r="M30" t="s">
        <v>35</v>
      </c>
    </row>
    <row r="31" spans="1:13" ht="18" x14ac:dyDescent="0.35">
      <c r="A31" s="11" t="s">
        <v>33</v>
      </c>
      <c r="B31" s="1">
        <v>1</v>
      </c>
      <c r="C31" s="11" t="s">
        <v>37</v>
      </c>
      <c r="D31" s="11">
        <f t="shared" ref="D31:D34" si="0">E30</f>
        <v>4000</v>
      </c>
      <c r="E31" s="11">
        <v>7000</v>
      </c>
      <c r="F31" s="11">
        <v>500</v>
      </c>
      <c r="G31" s="19">
        <v>0</v>
      </c>
      <c r="H31" s="19">
        <v>0</v>
      </c>
      <c r="I31" s="19">
        <v>0</v>
      </c>
      <c r="J31" s="12">
        <v>0.2</v>
      </c>
      <c r="K31" s="7"/>
      <c r="L31" s="7"/>
      <c r="M31" t="s">
        <v>35</v>
      </c>
    </row>
    <row r="32" spans="1:13" ht="18" x14ac:dyDescent="0.35">
      <c r="A32" s="11" t="s">
        <v>33</v>
      </c>
      <c r="B32" s="1">
        <v>1</v>
      </c>
      <c r="C32" s="11" t="s">
        <v>38</v>
      </c>
      <c r="D32" s="11">
        <f t="shared" si="0"/>
        <v>7000</v>
      </c>
      <c r="E32" s="11">
        <v>10000</v>
      </c>
      <c r="F32" s="11">
        <v>850</v>
      </c>
      <c r="G32" s="19">
        <v>0</v>
      </c>
      <c r="H32" s="19">
        <v>0</v>
      </c>
      <c r="I32" s="19">
        <v>0</v>
      </c>
      <c r="J32" s="12">
        <v>0.25</v>
      </c>
      <c r="K32" s="7"/>
      <c r="L32" s="7"/>
      <c r="M32" t="s">
        <v>35</v>
      </c>
    </row>
    <row r="33" spans="1:13" ht="18" x14ac:dyDescent="0.35">
      <c r="A33" s="11" t="s">
        <v>33</v>
      </c>
      <c r="B33" s="1">
        <v>1</v>
      </c>
      <c r="C33" s="11" t="s">
        <v>39</v>
      </c>
      <c r="D33" s="11">
        <f t="shared" si="0"/>
        <v>10000</v>
      </c>
      <c r="E33" s="11">
        <v>14000</v>
      </c>
      <c r="F33" s="11">
        <v>1350</v>
      </c>
      <c r="G33" s="19">
        <v>0</v>
      </c>
      <c r="H33" s="19">
        <v>0</v>
      </c>
      <c r="I33" s="19">
        <v>0</v>
      </c>
      <c r="J33" s="12">
        <v>0.3</v>
      </c>
      <c r="K33" s="7"/>
      <c r="L33" s="7"/>
      <c r="M33" t="s">
        <v>35</v>
      </c>
    </row>
    <row r="34" spans="1:13" ht="18" x14ac:dyDescent="0.35">
      <c r="A34" s="11" t="s">
        <v>33</v>
      </c>
      <c r="B34" s="1">
        <v>1</v>
      </c>
      <c r="C34" s="11" t="s">
        <v>40</v>
      </c>
      <c r="D34" s="11">
        <f t="shared" si="0"/>
        <v>14000</v>
      </c>
      <c r="E34" s="11">
        <v>30000</v>
      </c>
      <c r="F34" s="11">
        <v>2050</v>
      </c>
      <c r="G34" s="19">
        <v>0</v>
      </c>
      <c r="H34" s="19">
        <v>0</v>
      </c>
      <c r="I34" s="19">
        <v>0</v>
      </c>
      <c r="J34" s="12">
        <v>0.35</v>
      </c>
      <c r="K34" s="7"/>
      <c r="L34" s="7"/>
      <c r="M34" t="s">
        <v>35</v>
      </c>
    </row>
    <row r="35" spans="1:13" ht="18" x14ac:dyDescent="0.35">
      <c r="A35" s="11" t="s">
        <v>41</v>
      </c>
      <c r="B35" s="1">
        <v>2</v>
      </c>
      <c r="C35" s="11" t="s">
        <v>42</v>
      </c>
      <c r="D35" s="11">
        <v>0</v>
      </c>
      <c r="E35" s="11">
        <v>24000</v>
      </c>
      <c r="F35" s="11">
        <v>0</v>
      </c>
      <c r="G35" s="19">
        <v>0</v>
      </c>
      <c r="H35" s="19">
        <v>0</v>
      </c>
      <c r="I35" s="19">
        <v>0</v>
      </c>
      <c r="J35" s="12">
        <v>0</v>
      </c>
      <c r="K35" s="7"/>
      <c r="L35" s="7"/>
      <c r="M35" t="s">
        <v>35</v>
      </c>
    </row>
    <row r="36" spans="1:13" ht="18" x14ac:dyDescent="0.35">
      <c r="A36" s="11" t="s">
        <v>41</v>
      </c>
      <c r="B36" s="1">
        <v>2</v>
      </c>
      <c r="C36" s="11" t="s">
        <v>43</v>
      </c>
      <c r="D36" s="11">
        <f>E35</f>
        <v>24000</v>
      </c>
      <c r="E36" s="11">
        <v>48000</v>
      </c>
      <c r="F36" s="11">
        <v>0</v>
      </c>
      <c r="G36" s="19">
        <v>0</v>
      </c>
      <c r="H36" s="19">
        <v>0</v>
      </c>
      <c r="I36" s="19">
        <v>0</v>
      </c>
      <c r="J36" s="12">
        <v>0.15</v>
      </c>
      <c r="K36" s="7"/>
      <c r="L36" s="7"/>
      <c r="M36" t="s">
        <v>35</v>
      </c>
    </row>
    <row r="37" spans="1:13" ht="18" x14ac:dyDescent="0.35">
      <c r="A37" s="11" t="s">
        <v>41</v>
      </c>
      <c r="B37" s="1">
        <v>2</v>
      </c>
      <c r="C37" s="11" t="s">
        <v>44</v>
      </c>
      <c r="D37" s="11">
        <f t="shared" ref="D37:D40" si="1">E36</f>
        <v>48000</v>
      </c>
      <c r="E37" s="11">
        <v>84000</v>
      </c>
      <c r="F37" s="11">
        <v>0</v>
      </c>
      <c r="G37" s="19">
        <v>0</v>
      </c>
      <c r="H37" s="19">
        <v>0</v>
      </c>
      <c r="I37" s="19">
        <v>0</v>
      </c>
      <c r="J37" s="12">
        <v>0.2</v>
      </c>
      <c r="K37" s="7"/>
      <c r="L37" s="7"/>
      <c r="M37" t="s">
        <v>35</v>
      </c>
    </row>
    <row r="38" spans="1:13" ht="18" x14ac:dyDescent="0.35">
      <c r="A38" s="11" t="s">
        <v>41</v>
      </c>
      <c r="B38" s="1">
        <v>2</v>
      </c>
      <c r="C38" s="11" t="s">
        <v>45</v>
      </c>
      <c r="D38" s="11">
        <f t="shared" si="1"/>
        <v>84000</v>
      </c>
      <c r="E38" s="11">
        <v>120000</v>
      </c>
      <c r="F38" s="11">
        <v>0</v>
      </c>
      <c r="G38" s="19">
        <v>0</v>
      </c>
      <c r="H38" s="19">
        <v>0</v>
      </c>
      <c r="I38" s="19">
        <v>0</v>
      </c>
      <c r="J38" s="12">
        <v>0.25</v>
      </c>
      <c r="K38" s="7"/>
      <c r="L38" s="7"/>
      <c r="M38" t="s">
        <v>35</v>
      </c>
    </row>
    <row r="39" spans="1:13" ht="18" x14ac:dyDescent="0.35">
      <c r="A39" s="11" t="s">
        <v>41</v>
      </c>
      <c r="B39" s="1">
        <v>2</v>
      </c>
      <c r="C39" s="11" t="s">
        <v>46</v>
      </c>
      <c r="D39" s="11">
        <f t="shared" si="1"/>
        <v>120000</v>
      </c>
      <c r="E39" s="11">
        <v>168000</v>
      </c>
      <c r="F39" s="11">
        <v>0</v>
      </c>
      <c r="G39" s="19">
        <v>0</v>
      </c>
      <c r="H39" s="19">
        <v>0</v>
      </c>
      <c r="I39" s="19">
        <v>0</v>
      </c>
      <c r="J39" s="12">
        <v>0.3</v>
      </c>
      <c r="K39" s="7"/>
      <c r="L39" s="7"/>
      <c r="M39" t="s">
        <v>35</v>
      </c>
    </row>
    <row r="40" spans="1:13" ht="18" x14ac:dyDescent="0.35">
      <c r="A40" s="11" t="s">
        <v>41</v>
      </c>
      <c r="B40" s="1">
        <v>2</v>
      </c>
      <c r="C40" s="11" t="s">
        <v>47</v>
      </c>
      <c r="D40" s="11">
        <f t="shared" si="1"/>
        <v>168000</v>
      </c>
      <c r="E40" s="11">
        <v>168001</v>
      </c>
      <c r="F40" s="11">
        <v>0</v>
      </c>
      <c r="G40" s="19">
        <v>0</v>
      </c>
      <c r="H40" s="19">
        <v>0</v>
      </c>
      <c r="I40" s="19">
        <v>0</v>
      </c>
      <c r="J40" s="12">
        <v>0.35</v>
      </c>
      <c r="K40" s="7"/>
      <c r="L40" s="7"/>
      <c r="M40" t="s">
        <v>35</v>
      </c>
    </row>
    <row r="41" spans="1:13" ht="18" x14ac:dyDescent="0.35">
      <c r="A41" s="11" t="s">
        <v>48</v>
      </c>
      <c r="B41" s="1">
        <v>3</v>
      </c>
      <c r="C41" s="11" t="s">
        <v>42</v>
      </c>
      <c r="D41" s="11">
        <v>0</v>
      </c>
      <c r="E41" s="11">
        <v>24000</v>
      </c>
      <c r="F41" s="11">
        <v>0</v>
      </c>
      <c r="G41" s="19">
        <v>0</v>
      </c>
      <c r="H41" s="19">
        <v>0</v>
      </c>
      <c r="I41" s="19">
        <v>0</v>
      </c>
      <c r="J41" s="12">
        <v>0</v>
      </c>
      <c r="K41" s="7"/>
      <c r="L41" s="7"/>
      <c r="M41" t="s">
        <v>35</v>
      </c>
    </row>
    <row r="42" spans="1:13" ht="18" x14ac:dyDescent="0.35">
      <c r="A42" s="11" t="s">
        <v>48</v>
      </c>
      <c r="B42" s="1">
        <v>3</v>
      </c>
      <c r="C42" s="11" t="s">
        <v>43</v>
      </c>
      <c r="D42" s="11">
        <f>E41</f>
        <v>24000</v>
      </c>
      <c r="E42" s="11">
        <v>48000</v>
      </c>
      <c r="F42" s="11">
        <v>0</v>
      </c>
      <c r="G42" s="19">
        <v>0</v>
      </c>
      <c r="H42" s="19">
        <v>0</v>
      </c>
      <c r="I42" s="19">
        <v>0</v>
      </c>
      <c r="J42" s="12">
        <v>0.15</v>
      </c>
      <c r="K42" s="7"/>
      <c r="L42" s="7"/>
      <c r="M42" t="s">
        <v>35</v>
      </c>
    </row>
    <row r="43" spans="1:13" ht="18" x14ac:dyDescent="0.35">
      <c r="A43" s="11" t="s">
        <v>48</v>
      </c>
      <c r="B43" s="1">
        <v>3</v>
      </c>
      <c r="C43" s="11" t="s">
        <v>44</v>
      </c>
      <c r="D43" s="11">
        <f t="shared" ref="D43:D46" si="2">E42</f>
        <v>48000</v>
      </c>
      <c r="E43" s="11">
        <v>84000</v>
      </c>
      <c r="F43" s="11">
        <v>0</v>
      </c>
      <c r="G43" s="19">
        <v>0</v>
      </c>
      <c r="H43" s="19">
        <v>0</v>
      </c>
      <c r="I43" s="19">
        <v>0</v>
      </c>
      <c r="J43" s="12">
        <v>0.2</v>
      </c>
      <c r="K43" s="7"/>
      <c r="L43" s="7"/>
      <c r="M43" t="s">
        <v>35</v>
      </c>
    </row>
    <row r="44" spans="1:13" ht="18" x14ac:dyDescent="0.35">
      <c r="A44" s="11" t="s">
        <v>48</v>
      </c>
      <c r="B44" s="1">
        <v>3</v>
      </c>
      <c r="C44" s="11" t="s">
        <v>45</v>
      </c>
      <c r="D44" s="11">
        <f t="shared" si="2"/>
        <v>84000</v>
      </c>
      <c r="E44" s="11">
        <v>120000</v>
      </c>
      <c r="F44" s="11">
        <v>0</v>
      </c>
      <c r="G44" s="19">
        <v>0</v>
      </c>
      <c r="H44" s="19">
        <v>0</v>
      </c>
      <c r="I44" s="19">
        <v>0</v>
      </c>
      <c r="J44" s="12">
        <v>0.25</v>
      </c>
      <c r="K44" s="7"/>
      <c r="L44" s="7"/>
      <c r="M44" t="s">
        <v>35</v>
      </c>
    </row>
    <row r="45" spans="1:13" ht="18" x14ac:dyDescent="0.35">
      <c r="A45" s="11" t="s">
        <v>48</v>
      </c>
      <c r="B45" s="1">
        <v>3</v>
      </c>
      <c r="C45" s="11" t="s">
        <v>46</v>
      </c>
      <c r="D45" s="11">
        <f t="shared" si="2"/>
        <v>120000</v>
      </c>
      <c r="E45" s="11">
        <v>168000</v>
      </c>
      <c r="F45" s="11">
        <v>0</v>
      </c>
      <c r="G45" s="19">
        <v>0</v>
      </c>
      <c r="H45" s="19">
        <v>0</v>
      </c>
      <c r="I45" s="19">
        <v>0</v>
      </c>
      <c r="J45" s="12">
        <v>0.3</v>
      </c>
      <c r="K45" s="7"/>
      <c r="L45" s="7"/>
      <c r="M45" t="s">
        <v>35</v>
      </c>
    </row>
    <row r="46" spans="1:13" ht="18" x14ac:dyDescent="0.35">
      <c r="A46" s="11" t="s">
        <v>48</v>
      </c>
      <c r="B46" s="1">
        <v>3</v>
      </c>
      <c r="C46" s="11" t="s">
        <v>47</v>
      </c>
      <c r="D46" s="11">
        <f t="shared" si="2"/>
        <v>168000</v>
      </c>
      <c r="E46" s="11">
        <v>158000</v>
      </c>
      <c r="F46" s="11">
        <v>0</v>
      </c>
      <c r="G46" s="19">
        <v>0</v>
      </c>
      <c r="H46" s="19">
        <v>0</v>
      </c>
      <c r="I46" s="19">
        <v>0</v>
      </c>
      <c r="J46" s="12">
        <v>0.35</v>
      </c>
      <c r="K46" s="7"/>
      <c r="L46" s="7"/>
      <c r="M46" t="s">
        <v>35</v>
      </c>
    </row>
    <row r="47" spans="1:13" ht="18" x14ac:dyDescent="0.35">
      <c r="A47" s="11" t="s">
        <v>49</v>
      </c>
      <c r="B47" s="1">
        <v>4</v>
      </c>
      <c r="C47" s="11" t="s">
        <v>27</v>
      </c>
      <c r="D47" s="11"/>
      <c r="E47" s="11"/>
      <c r="F47" s="11">
        <v>0</v>
      </c>
      <c r="G47" s="19">
        <v>0</v>
      </c>
      <c r="H47" s="19">
        <v>0</v>
      </c>
      <c r="I47" s="19">
        <v>0</v>
      </c>
      <c r="J47" s="12">
        <v>0.15</v>
      </c>
      <c r="K47" s="7"/>
      <c r="L47" s="7"/>
      <c r="M47" t="s">
        <v>35</v>
      </c>
    </row>
    <row r="48" spans="1:13" ht="18" x14ac:dyDescent="0.35">
      <c r="A48" s="11" t="s">
        <v>50</v>
      </c>
      <c r="B48" s="1">
        <v>5</v>
      </c>
      <c r="C48" s="11" t="s">
        <v>27</v>
      </c>
      <c r="D48" s="11"/>
      <c r="E48" s="11"/>
      <c r="F48" s="11">
        <v>0</v>
      </c>
      <c r="G48" s="19">
        <v>0</v>
      </c>
      <c r="H48" s="19">
        <v>0</v>
      </c>
      <c r="I48" s="19">
        <v>0</v>
      </c>
      <c r="J48" s="12">
        <v>0.1</v>
      </c>
      <c r="K48" s="7"/>
      <c r="L48" s="7"/>
      <c r="M48" t="s">
        <v>35</v>
      </c>
    </row>
    <row r="49" spans="1:13" ht="18" x14ac:dyDescent="0.35">
      <c r="A49" s="11" t="s">
        <v>51</v>
      </c>
      <c r="B49" s="1">
        <v>6</v>
      </c>
      <c r="C49" s="11" t="s">
        <v>27</v>
      </c>
      <c r="D49" s="11"/>
      <c r="E49" s="11"/>
      <c r="F49" s="11">
        <v>0</v>
      </c>
      <c r="G49" s="19">
        <v>0</v>
      </c>
      <c r="H49" s="19">
        <v>0</v>
      </c>
      <c r="I49" s="19">
        <v>0</v>
      </c>
      <c r="J49" s="12">
        <v>0.2</v>
      </c>
      <c r="K49" s="7"/>
      <c r="L49" s="7"/>
      <c r="M49" t="s">
        <v>35</v>
      </c>
    </row>
    <row r="50" spans="1:13" ht="18" x14ac:dyDescent="0.35">
      <c r="A50" s="11" t="s">
        <v>52</v>
      </c>
      <c r="B50" s="1">
        <v>7</v>
      </c>
      <c r="C50" s="11" t="s">
        <v>27</v>
      </c>
      <c r="D50" s="11"/>
      <c r="E50" s="11"/>
      <c r="F50" s="11">
        <v>0</v>
      </c>
      <c r="G50" s="19">
        <v>0</v>
      </c>
      <c r="H50" s="19">
        <v>0</v>
      </c>
      <c r="I50" s="19">
        <v>0</v>
      </c>
      <c r="J50" s="12">
        <v>0.15</v>
      </c>
      <c r="K50" s="7"/>
      <c r="L50" s="7"/>
      <c r="M50" t="s">
        <v>35</v>
      </c>
    </row>
    <row r="51" spans="1:13" ht="18" x14ac:dyDescent="0.35">
      <c r="A51" s="11" t="s">
        <v>53</v>
      </c>
      <c r="B51" s="1">
        <v>8</v>
      </c>
      <c r="C51" s="11" t="s">
        <v>27</v>
      </c>
      <c r="D51" s="11"/>
      <c r="E51" s="11"/>
      <c r="F51" s="11">
        <v>0</v>
      </c>
      <c r="G51" s="19">
        <v>0</v>
      </c>
      <c r="H51" s="19">
        <v>0</v>
      </c>
      <c r="I51" s="19">
        <v>0</v>
      </c>
      <c r="J51" s="12">
        <v>0.15</v>
      </c>
      <c r="K51" s="7"/>
      <c r="L51" s="7"/>
      <c r="M51" t="s">
        <v>35</v>
      </c>
    </row>
    <row r="52" spans="1:13" ht="18.600000000000001" thickBot="1" x14ac:dyDescent="0.4">
      <c r="A52" t="s">
        <v>54</v>
      </c>
      <c r="B52" s="13">
        <v>9</v>
      </c>
      <c r="C52" s="14" t="s">
        <v>55</v>
      </c>
      <c r="D52">
        <v>0</v>
      </c>
      <c r="E52">
        <v>100000</v>
      </c>
      <c r="F52" s="11">
        <v>0</v>
      </c>
      <c r="G52" s="19">
        <v>0</v>
      </c>
      <c r="H52" s="19">
        <v>0</v>
      </c>
      <c r="I52" s="19">
        <v>0</v>
      </c>
      <c r="J52" s="15">
        <v>0.02</v>
      </c>
      <c r="K52" s="20"/>
      <c r="L52" s="20"/>
      <c r="M52" t="s">
        <v>35</v>
      </c>
    </row>
    <row r="53" spans="1:13" ht="18.600000000000001" thickBot="1" x14ac:dyDescent="0.4">
      <c r="A53" t="s">
        <v>54</v>
      </c>
      <c r="B53" s="13">
        <v>9</v>
      </c>
      <c r="C53" s="14" t="s">
        <v>56</v>
      </c>
      <c r="D53">
        <f>E52</f>
        <v>100000</v>
      </c>
      <c r="E53">
        <v>500000</v>
      </c>
      <c r="F53" s="11">
        <v>0</v>
      </c>
      <c r="G53" s="19">
        <v>0</v>
      </c>
      <c r="H53" s="19">
        <v>0</v>
      </c>
      <c r="I53" s="19">
        <v>0</v>
      </c>
      <c r="J53" s="15">
        <v>0.03</v>
      </c>
      <c r="K53" s="20"/>
      <c r="L53" s="20"/>
      <c r="M53" t="s">
        <v>35</v>
      </c>
    </row>
    <row r="54" spans="1:13" ht="31.8" thickBot="1" x14ac:dyDescent="0.4">
      <c r="A54" t="s">
        <v>54</v>
      </c>
      <c r="B54" s="13">
        <v>9</v>
      </c>
      <c r="C54" s="14" t="s">
        <v>57</v>
      </c>
      <c r="D54">
        <f t="shared" ref="D54:D56" si="3">E53</f>
        <v>500000</v>
      </c>
      <c r="E54">
        <v>1000000</v>
      </c>
      <c r="F54" s="11">
        <v>0</v>
      </c>
      <c r="G54" s="19">
        <v>0</v>
      </c>
      <c r="H54" s="19">
        <v>0</v>
      </c>
      <c r="I54" s="19">
        <v>0</v>
      </c>
      <c r="J54" s="15">
        <v>0.05</v>
      </c>
      <c r="K54" s="20"/>
      <c r="L54" s="20"/>
      <c r="M54" t="s">
        <v>35</v>
      </c>
    </row>
    <row r="55" spans="1:13" ht="31.8" thickBot="1" x14ac:dyDescent="0.4">
      <c r="A55" t="s">
        <v>54</v>
      </c>
      <c r="B55" s="13">
        <v>9</v>
      </c>
      <c r="C55" s="14" t="s">
        <v>58</v>
      </c>
      <c r="D55">
        <f t="shared" si="3"/>
        <v>1000000</v>
      </c>
      <c r="E55">
        <v>1500000</v>
      </c>
      <c r="F55" s="11">
        <v>0</v>
      </c>
      <c r="G55" s="19">
        <v>0</v>
      </c>
      <c r="H55" s="19">
        <v>0</v>
      </c>
      <c r="I55" s="19">
        <v>0</v>
      </c>
      <c r="J55" s="15">
        <v>7.0000000000000007E-2</v>
      </c>
      <c r="K55" s="20"/>
      <c r="L55" s="20"/>
      <c r="M55" t="s">
        <v>35</v>
      </c>
    </row>
    <row r="56" spans="1:13" ht="31.8" thickBot="1" x14ac:dyDescent="0.4">
      <c r="A56" t="s">
        <v>54</v>
      </c>
      <c r="B56" s="13">
        <v>9</v>
      </c>
      <c r="C56" s="14" t="s">
        <v>59</v>
      </c>
      <c r="D56">
        <f t="shared" si="3"/>
        <v>1500000</v>
      </c>
      <c r="E56">
        <v>2000000</v>
      </c>
      <c r="F56" s="11">
        <v>0</v>
      </c>
      <c r="G56" s="19">
        <v>0</v>
      </c>
      <c r="H56" s="19">
        <v>0</v>
      </c>
      <c r="I56" s="19">
        <v>0</v>
      </c>
      <c r="J56" s="15">
        <v>0.09</v>
      </c>
      <c r="K56" s="20"/>
      <c r="L56" s="20"/>
      <c r="M56" t="s">
        <v>35</v>
      </c>
    </row>
    <row r="57" spans="1:13" ht="18" x14ac:dyDescent="0.35">
      <c r="A57" t="s">
        <v>60</v>
      </c>
      <c r="B57" s="13">
        <v>10</v>
      </c>
      <c r="C57" s="11" t="s">
        <v>27</v>
      </c>
      <c r="F57" s="11">
        <v>0</v>
      </c>
      <c r="G57" s="19">
        <v>0</v>
      </c>
      <c r="H57" s="19">
        <v>0</v>
      </c>
      <c r="I57" s="19">
        <v>0</v>
      </c>
      <c r="J57" s="16">
        <v>0.15</v>
      </c>
      <c r="K57" s="16"/>
      <c r="L57" s="16"/>
      <c r="M57" t="s">
        <v>35</v>
      </c>
    </row>
    <row r="58" spans="1:13" ht="18" x14ac:dyDescent="0.35">
      <c r="A58" t="s">
        <v>61</v>
      </c>
      <c r="B58" s="17">
        <v>11</v>
      </c>
      <c r="C58" s="11" t="s">
        <v>27</v>
      </c>
      <c r="F58" s="11">
        <v>0</v>
      </c>
      <c r="G58" s="19">
        <v>0</v>
      </c>
      <c r="H58" s="19">
        <v>0</v>
      </c>
      <c r="I58" s="19">
        <v>0</v>
      </c>
      <c r="J58" s="16">
        <v>0.05</v>
      </c>
      <c r="K58" s="16"/>
      <c r="L58" s="16"/>
      <c r="M58" t="s">
        <v>35</v>
      </c>
    </row>
    <row r="59" spans="1:13" ht="18" x14ac:dyDescent="0.35">
      <c r="A59" t="s">
        <v>62</v>
      </c>
      <c r="B59" s="17">
        <v>12</v>
      </c>
      <c r="C59" s="11" t="s">
        <v>27</v>
      </c>
      <c r="F59" s="11">
        <v>0</v>
      </c>
      <c r="G59" s="19">
        <v>0</v>
      </c>
      <c r="H59" s="19">
        <v>0</v>
      </c>
      <c r="I59" s="19">
        <v>0</v>
      </c>
      <c r="J59" s="16">
        <v>0.15</v>
      </c>
      <c r="K59" s="16"/>
      <c r="L59" s="16"/>
      <c r="M59" t="s">
        <v>35</v>
      </c>
    </row>
    <row r="60" spans="1:13" ht="18" x14ac:dyDescent="0.35">
      <c r="A60" t="s">
        <v>63</v>
      </c>
      <c r="B60" s="17">
        <v>13</v>
      </c>
      <c r="C60" s="11" t="s">
        <v>27</v>
      </c>
      <c r="F60" s="11">
        <v>0</v>
      </c>
      <c r="G60" s="19">
        <v>0</v>
      </c>
      <c r="H60" s="19">
        <v>0</v>
      </c>
      <c r="I60" s="19">
        <v>0</v>
      </c>
      <c r="J60" s="16">
        <v>0.15</v>
      </c>
      <c r="K60" s="16"/>
      <c r="L60" s="16"/>
      <c r="M60" t="s">
        <v>35</v>
      </c>
    </row>
    <row r="61" spans="1:13" ht="18" x14ac:dyDescent="0.35">
      <c r="A61" s="18" t="s">
        <v>64</v>
      </c>
      <c r="B61" s="17">
        <v>14</v>
      </c>
      <c r="C61" t="s">
        <v>27</v>
      </c>
      <c r="F61" s="11">
        <v>0</v>
      </c>
      <c r="G61" s="19">
        <v>0</v>
      </c>
      <c r="H61" s="19">
        <v>0</v>
      </c>
      <c r="I61" s="19">
        <v>0</v>
      </c>
      <c r="J61" s="16">
        <v>0.15</v>
      </c>
      <c r="K61" s="16"/>
      <c r="L61" s="16"/>
      <c r="M61" t="s">
        <v>35</v>
      </c>
    </row>
    <row r="62" spans="1:13" ht="18" x14ac:dyDescent="0.35">
      <c r="A62" t="s">
        <v>65</v>
      </c>
      <c r="B62" s="17">
        <v>15</v>
      </c>
      <c r="C62" t="s">
        <v>27</v>
      </c>
      <c r="F62" s="11">
        <v>0</v>
      </c>
      <c r="G62" s="19">
        <v>0</v>
      </c>
      <c r="H62" s="19">
        <v>0</v>
      </c>
      <c r="I62" s="19">
        <v>0</v>
      </c>
      <c r="J62" s="16">
        <v>0.1</v>
      </c>
      <c r="K62" s="16"/>
      <c r="L62" s="16"/>
      <c r="M62" t="s">
        <v>35</v>
      </c>
    </row>
    <row r="63" spans="1:13" ht="18" x14ac:dyDescent="0.35">
      <c r="A63" t="s">
        <v>66</v>
      </c>
      <c r="B63" s="17">
        <v>16</v>
      </c>
      <c r="C63" t="s">
        <v>27</v>
      </c>
      <c r="F63" s="11">
        <v>0</v>
      </c>
      <c r="G63" s="19">
        <v>0</v>
      </c>
      <c r="H63" s="19">
        <v>0</v>
      </c>
      <c r="I63" s="19">
        <v>0</v>
      </c>
      <c r="J63" s="16">
        <v>0.15</v>
      </c>
      <c r="K63" s="16"/>
      <c r="L63" s="16"/>
      <c r="M6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Mihret Bizuneh</dc:creator>
  <cp:lastModifiedBy>Mihret Bizuneh</cp:lastModifiedBy>
  <dcterms:created xsi:type="dcterms:W3CDTF">2025-11-12T13:57:53Z</dcterms:created>
  <dcterms:modified xsi:type="dcterms:W3CDTF">2025-11-16T06:49:31Z</dcterms:modified>
</cp:coreProperties>
</file>